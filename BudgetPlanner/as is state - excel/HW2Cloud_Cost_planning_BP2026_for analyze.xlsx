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tables/table6.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tables/table7.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tables/table8.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bosch-my.sharepoint.com/personal/kas2sf_bosch_com/Documents/1. Projects/Coding/BudgetPlanner/as is state - excel/"/>
    </mc:Choice>
  </mc:AlternateContent>
  <xr:revisionPtr revIDLastSave="1" documentId="13_ncr:1_{FCF6379C-342F-4760-9CBD-5CD3EB08CE6F}" xr6:coauthVersionLast="47" xr6:coauthVersionMax="47" xr10:uidLastSave="{B1C4DF72-BF17-4F7B-9174-E0AB7414D991}"/>
  <bookViews>
    <workbookView xWindow="12" yWindow="12" windowWidth="23016" windowHeight="13656" xr2:uid="{74494312-02BD-4DB3-995E-C0DC24D46C3E}"/>
  </bookViews>
  <sheets>
    <sheet name="BP2026_Archive (21Apr26)" sheetId="17" r:id="rId1"/>
    <sheet name="Risk-Tracking" sheetId="20" r:id="rId2"/>
    <sheet name="Cost tracking chart" sheetId="18" r:id="rId3"/>
    <sheet name="Dashboards" sheetId="21" r:id="rId4"/>
    <sheet name="Final input Arun 002&amp;003" sheetId="15" state="hidden" r:id="rId5"/>
    <sheet name="XC-fix" sheetId="14" state="hidden" r:id="rId6"/>
    <sheet name="AAA" sheetId="13" state="hidden" r:id="rId7"/>
    <sheet name="Final input Arun 002&amp;003 (2)" sheetId="16" state="hidden" r:id="rId8"/>
    <sheet name="Draft_Arun" sheetId="10" state="hidden" r:id="rId9"/>
  </sheets>
  <definedNames>
    <definedName name="_xlnm._FilterDatabase" localSheetId="1" hidden="1">'Risk-Tracking'!$B$50:$F$50</definedName>
    <definedName name="Slicer_New_MCR_ID">#N/A</definedName>
  </definedNames>
  <calcPr calcId="191028"/>
  <pivotCaches>
    <pivotCache cacheId="0" r:id="rId10"/>
    <pivotCache cacheId="1" r:id="rId11"/>
    <pivotCache cacheId="2"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60" i="17" l="1"/>
  <c r="Y60" i="17" s="1"/>
  <c r="AJ62" i="17"/>
  <c r="Y62" i="17" s="1"/>
  <c r="AJ63" i="17"/>
  <c r="Y63" i="17" s="1"/>
  <c r="AJ64" i="17"/>
  <c r="Y64" i="17" s="1"/>
  <c r="AJ65" i="17"/>
  <c r="Y65" i="17" s="1"/>
  <c r="AJ66" i="17"/>
  <c r="Y66" i="17" s="1"/>
  <c r="AJ67" i="17"/>
  <c r="Y67" i="17" s="1"/>
  <c r="AJ68" i="17"/>
  <c r="Y68" i="17" s="1"/>
  <c r="AJ69" i="17"/>
  <c r="Y69" i="17" s="1"/>
  <c r="AJ71" i="17"/>
  <c r="Y71" i="17" s="1"/>
  <c r="AJ70" i="17"/>
  <c r="Y70" i="17" s="1"/>
  <c r="AJ61" i="17"/>
  <c r="Y61" i="17" s="1"/>
  <c r="E95" i="20"/>
  <c r="E96" i="20"/>
  <c r="E97" i="20"/>
  <c r="E98" i="20"/>
  <c r="E99" i="20"/>
  <c r="E100" i="20"/>
  <c r="E101" i="20"/>
  <c r="E102" i="20"/>
  <c r="E94" i="20"/>
  <c r="L94" i="20" a="1"/>
  <c r="L94" i="20" s="1"/>
  <c r="L95" i="20" a="1"/>
  <c r="L95" i="20" s="1"/>
  <c r="L96" i="20" a="1"/>
  <c r="L96" i="20" s="1"/>
  <c r="L97" i="20" a="1"/>
  <c r="L97" i="20" s="1"/>
  <c r="L98" i="20" a="1"/>
  <c r="L98" i="20" s="1"/>
  <c r="L99" i="20" a="1"/>
  <c r="L99" i="20" s="1"/>
  <c r="L100" i="20" a="1"/>
  <c r="L100" i="20" s="1"/>
  <c r="L101" i="20" a="1"/>
  <c r="L101" i="20" s="1"/>
  <c r="L102" i="20" a="1"/>
  <c r="L102" i="20" s="1"/>
  <c r="D64" i="20"/>
  <c r="T74" i="17"/>
  <c r="K55" i="20"/>
  <c r="K103" i="20" s="1"/>
  <c r="E64" i="20"/>
  <c r="C24" i="20"/>
  <c r="H72" i="20"/>
  <c r="L72" i="20" s="1" a="1"/>
  <c r="L72" i="20" s="1"/>
  <c r="H51" i="20"/>
  <c r="L51" i="20" s="1" a="1"/>
  <c r="L51" i="20" s="1"/>
  <c r="H52" i="20"/>
  <c r="L52" i="20" s="1" a="1"/>
  <c r="L52" i="20" s="1"/>
  <c r="H53" i="20"/>
  <c r="L53" i="20" s="1" a="1"/>
  <c r="L53" i="20" s="1"/>
  <c r="H55" i="20"/>
  <c r="L55" i="20" s="1" a="1"/>
  <c r="L55" i="20" s="1"/>
  <c r="H56" i="20"/>
  <c r="L56" i="20" s="1" a="1"/>
  <c r="L56" i="20" s="1"/>
  <c r="H57" i="20"/>
  <c r="L57" i="20" s="1" a="1"/>
  <c r="L57" i="20" s="1"/>
  <c r="H58" i="20"/>
  <c r="L58" i="20" s="1" a="1"/>
  <c r="L58" i="20" s="1"/>
  <c r="H59" i="20"/>
  <c r="L59" i="20" s="1" a="1"/>
  <c r="L59" i="20" s="1"/>
  <c r="H60" i="20"/>
  <c r="L60" i="20" s="1" a="1"/>
  <c r="L60" i="20" s="1"/>
  <c r="H61" i="20"/>
  <c r="L61" i="20" s="1" a="1"/>
  <c r="L61" i="20" s="1"/>
  <c r="H62" i="20"/>
  <c r="L62" i="20" s="1" a="1"/>
  <c r="L62" i="20" s="1"/>
  <c r="H63" i="20"/>
  <c r="L63" i="20" s="1" a="1"/>
  <c r="L63" i="20" s="1"/>
  <c r="H65" i="20"/>
  <c r="L65" i="20" s="1" a="1"/>
  <c r="L65" i="20" s="1"/>
  <c r="H66" i="20"/>
  <c r="L66" i="20" s="1" a="1"/>
  <c r="L66" i="20" s="1"/>
  <c r="H67" i="20"/>
  <c r="L67" i="20" s="1" a="1"/>
  <c r="L67" i="20" s="1"/>
  <c r="H68" i="20"/>
  <c r="L68" i="20" s="1" a="1"/>
  <c r="L68" i="20" s="1"/>
  <c r="H69" i="20"/>
  <c r="L69" i="20" s="1" a="1"/>
  <c r="L69" i="20" s="1"/>
  <c r="H70" i="20"/>
  <c r="L70" i="20" s="1" a="1"/>
  <c r="L70" i="20" s="1"/>
  <c r="H71" i="20"/>
  <c r="L71" i="20" s="1" a="1"/>
  <c r="L71" i="20" s="1"/>
  <c r="H73" i="20"/>
  <c r="L73" i="20" s="1" a="1"/>
  <c r="L73" i="20" s="1"/>
  <c r="H74" i="20"/>
  <c r="L74" i="20" s="1" a="1"/>
  <c r="L74" i="20" s="1"/>
  <c r="H75" i="20"/>
  <c r="L75" i="20" s="1" a="1"/>
  <c r="L75" i="20" s="1"/>
  <c r="H76" i="20"/>
  <c r="L76" i="20" s="1" a="1"/>
  <c r="L76" i="20" s="1"/>
  <c r="H77" i="20"/>
  <c r="L77" i="20" s="1" a="1"/>
  <c r="L77" i="20" s="1"/>
  <c r="H78" i="20"/>
  <c r="L78" i="20" s="1" a="1"/>
  <c r="L78" i="20" s="1"/>
  <c r="H79" i="20"/>
  <c r="L79" i="20" s="1" a="1"/>
  <c r="L79" i="20" s="1"/>
  <c r="H80" i="20"/>
  <c r="L80" i="20" s="1" a="1"/>
  <c r="L80" i="20" s="1"/>
  <c r="H81" i="20"/>
  <c r="L81" i="20" s="1" a="1"/>
  <c r="L81" i="20" s="1"/>
  <c r="H82" i="20"/>
  <c r="L82" i="20" s="1" a="1"/>
  <c r="L82" i="20" s="1"/>
  <c r="H83" i="20"/>
  <c r="L83" i="20" s="1" a="1"/>
  <c r="L83" i="20" s="1"/>
  <c r="H84" i="20"/>
  <c r="L84" i="20" s="1" a="1"/>
  <c r="L84" i="20" s="1"/>
  <c r="H85" i="20"/>
  <c r="L85" i="20" s="1" a="1"/>
  <c r="L85" i="20" s="1"/>
  <c r="H86" i="20"/>
  <c r="L86" i="20" s="1" a="1"/>
  <c r="L86" i="20" s="1"/>
  <c r="H87" i="20"/>
  <c r="L87" i="20" s="1" a="1"/>
  <c r="L87" i="20" s="1"/>
  <c r="H88" i="20"/>
  <c r="L88" i="20" s="1" a="1"/>
  <c r="L88" i="20" s="1"/>
  <c r="H89" i="20"/>
  <c r="L89" i="20" s="1" a="1"/>
  <c r="L89" i="20" s="1"/>
  <c r="H90" i="20"/>
  <c r="L90" i="20" s="1" a="1"/>
  <c r="L90" i="20" s="1"/>
  <c r="H91" i="20"/>
  <c r="L91" i="20" s="1" a="1"/>
  <c r="L91" i="20" s="1"/>
  <c r="H92" i="20"/>
  <c r="L92" i="20" s="1" a="1"/>
  <c r="L92" i="20" s="1"/>
  <c r="H93" i="20"/>
  <c r="L93" i="20" s="1" a="1"/>
  <c r="L93" i="20" s="1"/>
  <c r="C103" i="20"/>
  <c r="W51" i="17"/>
  <c r="AJ3" i="17"/>
  <c r="AJ4" i="17"/>
  <c r="AJ5" i="17"/>
  <c r="AJ6" i="17"/>
  <c r="AJ7" i="17"/>
  <c r="AJ8" i="17"/>
  <c r="AJ9" i="17"/>
  <c r="AJ10" i="17"/>
  <c r="AJ11" i="17"/>
  <c r="AJ12" i="17"/>
  <c r="AJ13" i="17"/>
  <c r="AJ14" i="17"/>
  <c r="AJ15" i="17"/>
  <c r="AJ16" i="17"/>
  <c r="AJ17" i="17"/>
  <c r="AJ18" i="17"/>
  <c r="AJ19" i="17"/>
  <c r="AJ20" i="17"/>
  <c r="AJ21" i="17"/>
  <c r="AJ22" i="17"/>
  <c r="AJ23" i="17"/>
  <c r="AJ24" i="17"/>
  <c r="AJ25" i="17"/>
  <c r="AJ26" i="17"/>
  <c r="AJ27" i="17"/>
  <c r="AJ28" i="17"/>
  <c r="AJ29" i="17"/>
  <c r="AH29" i="17" s="1"/>
  <c r="AJ30" i="17"/>
  <c r="AJ31" i="17"/>
  <c r="AJ32" i="17"/>
  <c r="AJ33" i="17"/>
  <c r="AJ34" i="17"/>
  <c r="AJ35" i="17"/>
  <c r="AJ36" i="17"/>
  <c r="AJ37" i="17"/>
  <c r="AJ38" i="17"/>
  <c r="AJ39" i="17"/>
  <c r="AJ40" i="17"/>
  <c r="AJ41" i="17"/>
  <c r="AJ42" i="17"/>
  <c r="AJ43" i="17"/>
  <c r="AJ44" i="17"/>
  <c r="AJ45" i="17"/>
  <c r="AJ46" i="17"/>
  <c r="AJ47" i="17"/>
  <c r="AJ48" i="17"/>
  <c r="AJ49" i="17"/>
  <c r="AJ50" i="17"/>
  <c r="AJ51" i="17"/>
  <c r="AJ52" i="17"/>
  <c r="AJ53" i="17"/>
  <c r="AJ54" i="17"/>
  <c r="AJ55" i="17"/>
  <c r="AJ56" i="17"/>
  <c r="AJ57" i="17"/>
  <c r="AJ58" i="17"/>
  <c r="AJ59" i="17"/>
  <c r="AJ2" i="17"/>
  <c r="U72" i="17"/>
  <c r="M10" i="18" s="1"/>
  <c r="T72" i="17"/>
  <c r="AB38" i="17"/>
  <c r="AA38" i="17"/>
  <c r="Z38" i="17"/>
  <c r="I41" i="20"/>
  <c r="F19" i="20"/>
  <c r="L23" i="20"/>
  <c r="F22" i="20"/>
  <c r="F21" i="20"/>
  <c r="F20" i="20"/>
  <c r="F18" i="20"/>
  <c r="F17" i="20"/>
  <c r="F16" i="20"/>
  <c r="F14" i="20"/>
  <c r="F13" i="20"/>
  <c r="F12" i="20"/>
  <c r="F11" i="20"/>
  <c r="F10" i="20"/>
  <c r="F9" i="20"/>
  <c r="F8" i="20"/>
  <c r="F7" i="20"/>
  <c r="F6" i="20"/>
  <c r="F5" i="20"/>
  <c r="F4" i="20"/>
  <c r="F3" i="20"/>
  <c r="D23" i="20"/>
  <c r="E23" i="20"/>
  <c r="F2" i="20"/>
  <c r="J26" i="20"/>
  <c r="R5" i="18"/>
  <c r="R7" i="18" s="1"/>
  <c r="Q5" i="18"/>
  <c r="Q7" i="18" s="1"/>
  <c r="AA2" i="18"/>
  <c r="AB2" i="18" s="1"/>
  <c r="S5" i="18"/>
  <c r="S7" i="18" s="1"/>
  <c r="T5" i="18"/>
  <c r="T7" i="18" s="1"/>
  <c r="U5" i="18"/>
  <c r="U7" i="18" s="1"/>
  <c r="V5" i="18"/>
  <c r="V7" i="18" s="1"/>
  <c r="W5" i="18"/>
  <c r="W7" i="18" s="1"/>
  <c r="X5" i="18"/>
  <c r="X7" i="18" s="1"/>
  <c r="Y5" i="18"/>
  <c r="Y7" i="18" s="1"/>
  <c r="Z5" i="18"/>
  <c r="Z7" i="18" s="1"/>
  <c r="P14" i="20"/>
  <c r="P26" i="20"/>
  <c r="P33" i="20" s="1"/>
  <c r="AI60" i="17" l="1"/>
  <c r="AB60" i="17"/>
  <c r="AD60" i="17"/>
  <c r="AC60" i="17"/>
  <c r="Z60" i="17"/>
  <c r="AH60" i="17"/>
  <c r="AG60" i="17"/>
  <c r="AF60" i="17"/>
  <c r="AE60" i="17"/>
  <c r="AA60" i="17"/>
  <c r="AI62" i="17"/>
  <c r="AH62" i="17"/>
  <c r="AG62" i="17"/>
  <c r="AF62" i="17"/>
  <c r="AE62" i="17"/>
  <c r="AD62" i="17"/>
  <c r="AC62" i="17"/>
  <c r="AB62" i="17"/>
  <c r="AA62" i="17"/>
  <c r="Z62" i="17"/>
  <c r="AI63" i="17"/>
  <c r="AH63" i="17"/>
  <c r="AF63" i="17"/>
  <c r="AE63" i="17"/>
  <c r="AD63" i="17"/>
  <c r="AC63" i="17"/>
  <c r="AA63" i="17"/>
  <c r="Z63" i="17"/>
  <c r="AG63" i="17"/>
  <c r="AB63" i="17"/>
  <c r="AI64" i="17"/>
  <c r="AH64" i="17"/>
  <c r="AF64" i="17"/>
  <c r="AE64" i="17"/>
  <c r="AG64" i="17"/>
  <c r="AB64" i="17"/>
  <c r="Z64" i="17"/>
  <c r="AD64" i="17"/>
  <c r="AC64" i="17"/>
  <c r="AA64" i="17"/>
  <c r="AI65" i="17"/>
  <c r="AH65" i="17"/>
  <c r="AE65" i="17"/>
  <c r="AA65" i="17"/>
  <c r="AG65" i="17"/>
  <c r="AF65" i="17"/>
  <c r="Z65" i="17"/>
  <c r="AD65" i="17"/>
  <c r="AC65" i="17"/>
  <c r="AB65" i="17"/>
  <c r="AI66" i="17"/>
  <c r="AF66" i="17"/>
  <c r="AB66" i="17"/>
  <c r="AE66" i="17"/>
  <c r="AA66" i="17"/>
  <c r="AG67" i="17"/>
  <c r="Z66" i="17"/>
  <c r="AH66" i="17"/>
  <c r="AG66" i="17"/>
  <c r="AD66" i="17"/>
  <c r="AC66" i="17"/>
  <c r="AF67" i="17"/>
  <c r="AI67" i="17"/>
  <c r="AH67" i="17"/>
  <c r="AE67" i="17"/>
  <c r="AD67" i="17"/>
  <c r="AB67" i="17"/>
  <c r="AA67" i="17"/>
  <c r="AC67" i="17"/>
  <c r="Z67" i="17"/>
  <c r="AI68" i="17"/>
  <c r="AH68" i="17"/>
  <c r="AF68" i="17"/>
  <c r="AD68" i="17"/>
  <c r="AC68" i="17"/>
  <c r="AB68" i="17"/>
  <c r="Z68" i="17"/>
  <c r="AG68" i="17"/>
  <c r="AE68" i="17"/>
  <c r="AA68" i="17"/>
  <c r="AI69" i="17"/>
  <c r="AH69" i="17"/>
  <c r="AE69" i="17"/>
  <c r="AA69" i="17"/>
  <c r="AG69" i="17"/>
  <c r="Z69" i="17"/>
  <c r="AF69" i="17"/>
  <c r="AD69" i="17"/>
  <c r="AC69" i="17"/>
  <c r="AB69" i="17"/>
  <c r="AI71" i="17"/>
  <c r="AD71" i="17"/>
  <c r="AF71" i="17"/>
  <c r="AC71" i="17"/>
  <c r="AG71" i="17"/>
  <c r="AE71" i="17"/>
  <c r="AB71" i="17"/>
  <c r="AH71" i="17"/>
  <c r="AA71" i="17"/>
  <c r="Z71" i="17"/>
  <c r="AI70" i="17"/>
  <c r="AH70" i="17"/>
  <c r="AF70" i="17"/>
  <c r="AE70" i="17"/>
  <c r="AB70" i="17"/>
  <c r="AA70" i="17"/>
  <c r="AC70" i="17"/>
  <c r="Z70" i="17"/>
  <c r="AG70" i="17"/>
  <c r="AD70" i="17"/>
  <c r="AC61" i="17"/>
  <c r="Z61" i="17"/>
  <c r="AI61" i="17"/>
  <c r="AH61" i="17"/>
  <c r="AG61" i="17"/>
  <c r="AF61" i="17"/>
  <c r="AE61" i="17"/>
  <c r="AD61" i="17"/>
  <c r="AB61" i="17"/>
  <c r="AA61" i="17"/>
  <c r="H64" i="20"/>
  <c r="L64" i="20" s="1" a="1"/>
  <c r="L64" i="20" s="1"/>
  <c r="E103" i="20"/>
  <c r="E105" i="20" s="1"/>
  <c r="D103" i="20"/>
  <c r="Z7" i="17"/>
  <c r="AA7" i="17"/>
  <c r="AB7" i="17"/>
  <c r="AC7" i="17"/>
  <c r="AD7" i="17"/>
  <c r="AE7" i="17"/>
  <c r="AF7" i="17"/>
  <c r="AG7" i="17"/>
  <c r="AH7" i="17"/>
  <c r="Z15" i="17"/>
  <c r="AA15" i="17"/>
  <c r="AB15" i="17"/>
  <c r="AC15" i="17"/>
  <c r="AD15" i="17"/>
  <c r="AE15" i="17"/>
  <c r="AF15" i="17"/>
  <c r="AG15" i="17"/>
  <c r="AH15" i="17"/>
  <c r="Z27" i="17"/>
  <c r="AA27" i="17"/>
  <c r="AB27" i="17"/>
  <c r="AC27" i="17"/>
  <c r="AD27" i="17"/>
  <c r="AE27" i="17"/>
  <c r="AF27" i="17"/>
  <c r="AG27" i="17"/>
  <c r="AH27" i="17"/>
  <c r="Z30" i="17"/>
  <c r="AA30" i="17"/>
  <c r="AB30" i="17"/>
  <c r="AC30" i="17"/>
  <c r="AD30" i="17"/>
  <c r="AE30" i="17"/>
  <c r="AF30" i="17"/>
  <c r="AG30" i="17"/>
  <c r="AH30" i="17"/>
  <c r="AC38" i="17"/>
  <c r="AD38" i="17"/>
  <c r="AE38" i="17"/>
  <c r="AF38" i="17"/>
  <c r="AG38" i="17"/>
  <c r="AH38" i="17"/>
  <c r="Z41" i="17"/>
  <c r="AA41" i="17"/>
  <c r="AB41" i="17"/>
  <c r="AC41" i="17"/>
  <c r="AD41" i="17"/>
  <c r="AE41" i="17"/>
  <c r="AF41" i="17"/>
  <c r="AG41" i="17"/>
  <c r="AH41" i="17"/>
  <c r="Z43" i="17"/>
  <c r="AA43" i="17"/>
  <c r="AB43" i="17"/>
  <c r="AC43" i="17"/>
  <c r="AD43" i="17"/>
  <c r="AE43" i="17"/>
  <c r="AF43" i="17"/>
  <c r="AG43" i="17"/>
  <c r="AH43" i="17"/>
  <c r="Z47" i="17"/>
  <c r="AA47" i="17"/>
  <c r="AB47" i="17"/>
  <c r="AC47" i="17"/>
  <c r="AD47" i="17"/>
  <c r="AE47" i="17"/>
  <c r="AF47" i="17"/>
  <c r="AG47" i="17"/>
  <c r="AH47" i="17"/>
  <c r="AI7" i="17"/>
  <c r="AI15" i="17"/>
  <c r="Y27" i="17"/>
  <c r="AI27" i="17" s="1"/>
  <c r="Y30" i="17"/>
  <c r="AI38" i="17"/>
  <c r="Y41" i="17"/>
  <c r="AI41" i="17" s="1"/>
  <c r="AI43" i="17"/>
  <c r="Y47" i="17"/>
  <c r="AI47" i="17" s="1"/>
  <c r="AH13" i="17"/>
  <c r="AI3" i="17"/>
  <c r="AI31" i="17"/>
  <c r="AI37" i="17"/>
  <c r="AI59" i="17"/>
  <c r="AI2" i="17"/>
  <c r="Z36" i="17"/>
  <c r="C15" i="20"/>
  <c r="D26" i="20"/>
  <c r="X72" i="17"/>
  <c r="AA6" i="17"/>
  <c r="Z19" i="17"/>
  <c r="AE20" i="17"/>
  <c r="AC21" i="17"/>
  <c r="AD31" i="17"/>
  <c r="AG32" i="17"/>
  <c r="AG39" i="17"/>
  <c r="AG50" i="17"/>
  <c r="Q72" i="17"/>
  <c r="P72" i="17"/>
  <c r="AK60" i="17" l="1"/>
  <c r="AL60" i="17" s="1"/>
  <c r="AK62" i="17"/>
  <c r="AL62" i="17" s="1"/>
  <c r="AK64" i="17"/>
  <c r="AL64" i="17" s="1"/>
  <c r="AK63" i="17"/>
  <c r="AL63" i="17" s="1"/>
  <c r="AK65" i="17"/>
  <c r="AL65" i="17" s="1"/>
  <c r="AK66" i="17"/>
  <c r="AL66" i="17" s="1"/>
  <c r="AK67" i="17"/>
  <c r="AL67" i="17" s="1"/>
  <c r="AK68" i="17"/>
  <c r="AL68" i="17" s="1"/>
  <c r="AK69" i="17"/>
  <c r="AL69" i="17" s="1"/>
  <c r="AK71" i="17"/>
  <c r="AL71" i="17" s="1"/>
  <c r="AK70" i="17"/>
  <c r="AL70" i="17" s="1"/>
  <c r="AK61" i="17"/>
  <c r="AL61" i="17" s="1"/>
  <c r="F15" i="20"/>
  <c r="F23" i="20" s="1"/>
  <c r="C23" i="20"/>
  <c r="C30" i="20" s="1"/>
  <c r="C26" i="20"/>
  <c r="B4" i="18"/>
  <c r="C4" i="18" s="1"/>
  <c r="B3" i="18"/>
  <c r="C3" i="18" s="1"/>
  <c r="AF50" i="17"/>
  <c r="AH39" i="17"/>
  <c r="AD21" i="17"/>
  <c r="AD20" i="17"/>
  <c r="AC20" i="17"/>
  <c r="AC19" i="17"/>
  <c r="AE6" i="17"/>
  <c r="AH50" i="17"/>
  <c r="AF32" i="17"/>
  <c r="Z31" i="17"/>
  <c r="Z20" i="17"/>
  <c r="AH32" i="17"/>
  <c r="AC31" i="17"/>
  <c r="AB31" i="17"/>
  <c r="AB20" i="17"/>
  <c r="AI32" i="17"/>
  <c r="AA31" i="17"/>
  <c r="AA20" i="17"/>
  <c r="AH19" i="17"/>
  <c r="AG19" i="17"/>
  <c r="AI21" i="17"/>
  <c r="AF19" i="17"/>
  <c r="AI6" i="17"/>
  <c r="AI19" i="17"/>
  <c r="AH21" i="17"/>
  <c r="AD6" i="17"/>
  <c r="AG21" i="17"/>
  <c r="AC6" i="17"/>
  <c r="AI20" i="17"/>
  <c r="AF21" i="17"/>
  <c r="Z6" i="17"/>
  <c r="AE21" i="17"/>
  <c r="AC50" i="17"/>
  <c r="AE50" i="17"/>
  <c r="Z50" i="17"/>
  <c r="AB50" i="17"/>
  <c r="AA50" i="17"/>
  <c r="AD50" i="17"/>
  <c r="AL36" i="17"/>
  <c r="AA36" i="17"/>
  <c r="AI36" i="17"/>
  <c r="AB36" i="17"/>
  <c r="AD36" i="17"/>
  <c r="AC36" i="17"/>
  <c r="AE36" i="17"/>
  <c r="AG36" i="17"/>
  <c r="AH36" i="17"/>
  <c r="AF36" i="17"/>
  <c r="Z39" i="17"/>
  <c r="AF39" i="17"/>
  <c r="Y39" i="17"/>
  <c r="AI39" i="17" s="1"/>
  <c r="AA39" i="17"/>
  <c r="AB39" i="17"/>
  <c r="AC39" i="17"/>
  <c r="AD39" i="17"/>
  <c r="AE39" i="17"/>
  <c r="AL13" i="17"/>
  <c r="AG13" i="17"/>
  <c r="AA13" i="17"/>
  <c r="AE13" i="17"/>
  <c r="Z13" i="17"/>
  <c r="AB13" i="17"/>
  <c r="AF13" i="17"/>
  <c r="AC13" i="17"/>
  <c r="AI13" i="17"/>
  <c r="AD13" i="17"/>
  <c r="AD32" i="17"/>
  <c r="AB32" i="17"/>
  <c r="Z32" i="17"/>
  <c r="AA32" i="17"/>
  <c r="AC32" i="17"/>
  <c r="AE32" i="17"/>
  <c r="Y50" i="17"/>
  <c r="AI50" i="17" s="1"/>
  <c r="AA21" i="17"/>
  <c r="AE19" i="17"/>
  <c r="AB6" i="17"/>
  <c r="AB21" i="17"/>
  <c r="AH31" i="17"/>
  <c r="Z21" i="17"/>
  <c r="AD19" i="17"/>
  <c r="AF31" i="17"/>
  <c r="AG20" i="17"/>
  <c r="AB19" i="17"/>
  <c r="AH20" i="17"/>
  <c r="AE31" i="17"/>
  <c r="AF20" i="17"/>
  <c r="AA19" i="17"/>
  <c r="AG31" i="17"/>
  <c r="AI30" i="17"/>
  <c r="W72" i="17"/>
  <c r="E5" i="18"/>
  <c r="D4" i="18" l="1"/>
  <c r="G26" i="20"/>
  <c r="H26" i="20" s="1"/>
  <c r="AK20" i="17"/>
  <c r="AL20" i="17" s="1"/>
  <c r="AK3" i="17"/>
  <c r="AL3" i="17" s="1"/>
  <c r="AK19" i="17"/>
  <c r="AL19" i="17" s="1"/>
  <c r="AK31" i="17"/>
  <c r="AL31" i="17" s="1"/>
  <c r="AK21" i="17"/>
  <c r="AL21" i="17" s="1"/>
  <c r="AK32" i="17"/>
  <c r="AL32" i="17" s="1"/>
  <c r="AK6" i="17"/>
  <c r="AL6" i="17" s="1"/>
  <c r="B5" i="18"/>
  <c r="AK50" i="17"/>
  <c r="AL50" i="17" s="1"/>
  <c r="AK39" i="17"/>
  <c r="AL39" i="17" s="1"/>
  <c r="C5" i="18"/>
  <c r="C14" i="18" s="1"/>
  <c r="F5" i="18"/>
  <c r="N22" i="17"/>
  <c r="M22" i="17"/>
  <c r="R59" i="17"/>
  <c r="R58" i="17"/>
  <c r="N57" i="17"/>
  <c r="M57" i="17"/>
  <c r="N56" i="17"/>
  <c r="M56" i="17"/>
  <c r="N55" i="17"/>
  <c r="M55" i="17"/>
  <c r="N54" i="17"/>
  <c r="M54" i="17"/>
  <c r="N53" i="17"/>
  <c r="M53" i="17"/>
  <c r="N52" i="17"/>
  <c r="M52" i="17"/>
  <c r="N51" i="17"/>
  <c r="M51" i="17"/>
  <c r="N49" i="17"/>
  <c r="M49" i="17"/>
  <c r="N48" i="17"/>
  <c r="M48" i="17"/>
  <c r="R46" i="17"/>
  <c r="R45" i="17"/>
  <c r="R44" i="17"/>
  <c r="R42" i="17"/>
  <c r="R40" i="17"/>
  <c r="R35" i="17"/>
  <c r="R34" i="17"/>
  <c r="R33" i="17"/>
  <c r="N28" i="17"/>
  <c r="M28" i="17"/>
  <c r="R26" i="17"/>
  <c r="N25" i="17"/>
  <c r="M25" i="17"/>
  <c r="N24" i="17"/>
  <c r="M24" i="17"/>
  <c r="N23" i="17"/>
  <c r="M23" i="17"/>
  <c r="N21" i="17"/>
  <c r="M21" i="17"/>
  <c r="N18" i="17"/>
  <c r="M18" i="17"/>
  <c r="N17" i="17"/>
  <c r="M17" i="17"/>
  <c r="N16" i="17"/>
  <c r="M16" i="17"/>
  <c r="N12" i="17"/>
  <c r="M12" i="17"/>
  <c r="R11" i="17"/>
  <c r="R10" i="17"/>
  <c r="N9" i="17"/>
  <c r="M9" i="17"/>
  <c r="N8" i="17"/>
  <c r="M8" i="17"/>
  <c r="R5" i="17"/>
  <c r="R4" i="17"/>
  <c r="R2" i="17"/>
  <c r="E67" i="16"/>
  <c r="G67" i="16" s="1"/>
  <c r="G66" i="16"/>
  <c r="E66" i="16"/>
  <c r="I53" i="16"/>
  <c r="I54" i="16" s="1"/>
  <c r="I52" i="15"/>
  <c r="E34" i="14"/>
  <c r="E28" i="14"/>
  <c r="E29" i="14"/>
  <c r="E30" i="14"/>
  <c r="E31" i="14"/>
  <c r="E32" i="14"/>
  <c r="E33" i="14"/>
  <c r="E27" i="14"/>
  <c r="D33" i="14"/>
  <c r="D31" i="14"/>
  <c r="D30" i="14"/>
  <c r="D29" i="14"/>
  <c r="D28" i="14"/>
  <c r="D27" i="14"/>
  <c r="B33" i="14"/>
  <c r="B31" i="14"/>
  <c r="B30" i="14"/>
  <c r="B29" i="14"/>
  <c r="B28" i="14"/>
  <c r="B27" i="14"/>
  <c r="C33" i="14"/>
  <c r="C31" i="14"/>
  <c r="C30" i="14"/>
  <c r="C29" i="14"/>
  <c r="C28" i="14"/>
  <c r="C27" i="14"/>
  <c r="B5" i="14"/>
  <c r="D13" i="14"/>
  <c r="C16" i="14"/>
  <c r="D19" i="14" s="1"/>
  <c r="AG26" i="17" l="1"/>
  <c r="AH26" i="17"/>
  <c r="AB26" i="17"/>
  <c r="Y26" i="17"/>
  <c r="AI26" i="17" s="1"/>
  <c r="Z26" i="17"/>
  <c r="AA26" i="17"/>
  <c r="AC26" i="17"/>
  <c r="AD26" i="17"/>
  <c r="AE26" i="17"/>
  <c r="AF26" i="17"/>
  <c r="AH58" i="17"/>
  <c r="AB58" i="17"/>
  <c r="AA58" i="17"/>
  <c r="Z58" i="17"/>
  <c r="Y58" i="17"/>
  <c r="AI58" i="17" s="1"/>
  <c r="AC58" i="17"/>
  <c r="AD58" i="17"/>
  <c r="AG58" i="17"/>
  <c r="AE58" i="17"/>
  <c r="AF58" i="17"/>
  <c r="Z33" i="17"/>
  <c r="AG33" i="17"/>
  <c r="AA33" i="17"/>
  <c r="AC33" i="17"/>
  <c r="AH33" i="17"/>
  <c r="AB33" i="17"/>
  <c r="AD33" i="17"/>
  <c r="AF33" i="17"/>
  <c r="AE33" i="17"/>
  <c r="Y33" i="17"/>
  <c r="AI33" i="17" s="1"/>
  <c r="Z4" i="17"/>
  <c r="AA4" i="17"/>
  <c r="AC4" i="17"/>
  <c r="AB4" i="17"/>
  <c r="AH4" i="17"/>
  <c r="AD4" i="17"/>
  <c r="AF4" i="17"/>
  <c r="AG4" i="17"/>
  <c r="AE4" i="17"/>
  <c r="Y4" i="17"/>
  <c r="AI4" i="17" s="1"/>
  <c r="AE34" i="17"/>
  <c r="AH34" i="17"/>
  <c r="AF34" i="17"/>
  <c r="AG34" i="17"/>
  <c r="Z34" i="17"/>
  <c r="AA34" i="17"/>
  <c r="AB34" i="17"/>
  <c r="Y34" i="17"/>
  <c r="AI34" i="17" s="1"/>
  <c r="AC34" i="17"/>
  <c r="AD34" i="17"/>
  <c r="AC35" i="17"/>
  <c r="AE35" i="17"/>
  <c r="Z35" i="17"/>
  <c r="AD35" i="17"/>
  <c r="AA35" i="17"/>
  <c r="AB35" i="17"/>
  <c r="AH35" i="17"/>
  <c r="AI35" i="17"/>
  <c r="AF35" i="17"/>
  <c r="AG35" i="17"/>
  <c r="AI42" i="17"/>
  <c r="AH44" i="17"/>
  <c r="AC44" i="17"/>
  <c r="AA44" i="17"/>
  <c r="Z44" i="17"/>
  <c r="Y44" i="17"/>
  <c r="AI44" i="17" s="1"/>
  <c r="AB44" i="17"/>
  <c r="AD44" i="17"/>
  <c r="AF44" i="17"/>
  <c r="AG44" i="17"/>
  <c r="AE44" i="17"/>
  <c r="AE5" i="17"/>
  <c r="AF5" i="17"/>
  <c r="AH5" i="17"/>
  <c r="AG5" i="17"/>
  <c r="Z5" i="17"/>
  <c r="AA5" i="17"/>
  <c r="AB5" i="17"/>
  <c r="AD5" i="17"/>
  <c r="Y5" i="17"/>
  <c r="AC5" i="17"/>
  <c r="AI40" i="17"/>
  <c r="AG45" i="17"/>
  <c r="Z45" i="17"/>
  <c r="AB45" i="17"/>
  <c r="AH45" i="17"/>
  <c r="AA45" i="17"/>
  <c r="Y45" i="17"/>
  <c r="AI45" i="17" s="1"/>
  <c r="AC45" i="17"/>
  <c r="AF45" i="17"/>
  <c r="AD45" i="17"/>
  <c r="AE45" i="17"/>
  <c r="Z10" i="17"/>
  <c r="AF10" i="17"/>
  <c r="Y10" i="17"/>
  <c r="AI10" i="17" s="1"/>
  <c r="AA10" i="17"/>
  <c r="AB10" i="17"/>
  <c r="AC10" i="17"/>
  <c r="AD10" i="17"/>
  <c r="AE10" i="17"/>
  <c r="AG10" i="17"/>
  <c r="AH10" i="17"/>
  <c r="AD46" i="17"/>
  <c r="AG46" i="17"/>
  <c r="Y46" i="17"/>
  <c r="AI46" i="17" s="1"/>
  <c r="AE46" i="17"/>
  <c r="AF46" i="17"/>
  <c r="AH46" i="17"/>
  <c r="AA46" i="17"/>
  <c r="Z46" i="17"/>
  <c r="AB46" i="17"/>
  <c r="AC46" i="17"/>
  <c r="AB11" i="17"/>
  <c r="AC11" i="17"/>
  <c r="Y11" i="17"/>
  <c r="AI11" i="17" s="1"/>
  <c r="AD11" i="17"/>
  <c r="AE11" i="17"/>
  <c r="AF11" i="17"/>
  <c r="AH11" i="17"/>
  <c r="AG11" i="17"/>
  <c r="Z11" i="17"/>
  <c r="AA11" i="17"/>
  <c r="R22" i="17"/>
  <c r="G5" i="18"/>
  <c r="O22" i="17"/>
  <c r="O57" i="17"/>
  <c r="R23" i="17"/>
  <c r="O21" i="17"/>
  <c r="O12" i="17"/>
  <c r="R51" i="17"/>
  <c r="O18" i="17"/>
  <c r="O56" i="17"/>
  <c r="O17" i="17"/>
  <c r="O52" i="17"/>
  <c r="R12" i="17"/>
  <c r="R18" i="17"/>
  <c r="R28" i="17"/>
  <c r="R57" i="17"/>
  <c r="O49" i="17"/>
  <c r="O51" i="17"/>
  <c r="O23" i="17"/>
  <c r="R8" i="17"/>
  <c r="R9" i="17"/>
  <c r="O16" i="17"/>
  <c r="R25" i="17"/>
  <c r="R53" i="17"/>
  <c r="O8" i="17"/>
  <c r="O24" i="17"/>
  <c r="O28" i="17"/>
  <c r="O48" i="17"/>
  <c r="O55" i="17"/>
  <c r="R16" i="17"/>
  <c r="O25" i="17"/>
  <c r="R29" i="17"/>
  <c r="O9" i="17"/>
  <c r="R56" i="17"/>
  <c r="R52" i="17"/>
  <c r="R17" i="17"/>
  <c r="R24" i="17"/>
  <c r="O53" i="17"/>
  <c r="R49" i="17"/>
  <c r="R54" i="17"/>
  <c r="O54" i="17"/>
  <c r="R55" i="17"/>
  <c r="R48" i="17"/>
  <c r="O14" i="13"/>
  <c r="R45" i="13"/>
  <c r="P45" i="13"/>
  <c r="M45" i="13"/>
  <c r="L45" i="13"/>
  <c r="R44" i="13"/>
  <c r="M44" i="13"/>
  <c r="L44" i="13"/>
  <c r="R43" i="13"/>
  <c r="M43" i="13"/>
  <c r="L43" i="13"/>
  <c r="O43" i="13" s="1"/>
  <c r="R42" i="13"/>
  <c r="L42" i="13"/>
  <c r="O42" i="13" s="1"/>
  <c r="R41" i="13"/>
  <c r="Q41" i="13"/>
  <c r="L41" i="13"/>
  <c r="O41" i="13" s="1"/>
  <c r="R40" i="13"/>
  <c r="M40" i="13"/>
  <c r="L40" i="13"/>
  <c r="O40" i="13" s="1"/>
  <c r="R39" i="13"/>
  <c r="M39" i="13"/>
  <c r="L39" i="13"/>
  <c r="O39" i="13" s="1"/>
  <c r="R38" i="13"/>
  <c r="M38" i="13"/>
  <c r="L38" i="13"/>
  <c r="T37" i="13"/>
  <c r="R37" i="13"/>
  <c r="P37" i="13"/>
  <c r="M37" i="13"/>
  <c r="L37" i="13"/>
  <c r="O37" i="13" s="1"/>
  <c r="L36" i="13"/>
  <c r="O36" i="13" s="1"/>
  <c r="P35" i="13"/>
  <c r="M35" i="13"/>
  <c r="L35" i="13"/>
  <c r="O35" i="13" s="1"/>
  <c r="Q34" i="13"/>
  <c r="P34" i="13"/>
  <c r="M34" i="13"/>
  <c r="L34" i="13"/>
  <c r="Q33" i="13"/>
  <c r="M33" i="13"/>
  <c r="L33" i="13"/>
  <c r="R32" i="13"/>
  <c r="P32" i="13"/>
  <c r="M32" i="13"/>
  <c r="L32" i="13"/>
  <c r="P31" i="13"/>
  <c r="M31" i="13"/>
  <c r="L31" i="13"/>
  <c r="O31" i="13" s="1"/>
  <c r="T30" i="13"/>
  <c r="R30" i="13"/>
  <c r="P30" i="13"/>
  <c r="M30" i="13"/>
  <c r="L30" i="13"/>
  <c r="O30" i="13" s="1"/>
  <c r="R29" i="13"/>
  <c r="P29" i="13"/>
  <c r="M29" i="13"/>
  <c r="L29" i="13"/>
  <c r="R28" i="13"/>
  <c r="P28" i="13"/>
  <c r="M28" i="13"/>
  <c r="L28" i="13"/>
  <c r="O28" i="13" s="1"/>
  <c r="R27" i="13"/>
  <c r="Q27" i="13"/>
  <c r="P27" i="13"/>
  <c r="M27" i="13"/>
  <c r="L27" i="13"/>
  <c r="O27" i="13" s="1"/>
  <c r="R26" i="13"/>
  <c r="Q26" i="13"/>
  <c r="P26" i="13" s="1"/>
  <c r="M26" i="13"/>
  <c r="L26" i="13"/>
  <c r="R25" i="13"/>
  <c r="Q25" i="13"/>
  <c r="M25" i="13"/>
  <c r="L25" i="13"/>
  <c r="O25" i="13" s="1"/>
  <c r="R24" i="13"/>
  <c r="Q24" i="13"/>
  <c r="P24" i="13"/>
  <c r="M24" i="13"/>
  <c r="L24" i="13"/>
  <c r="T23" i="13"/>
  <c r="P23" i="13"/>
  <c r="M23" i="13"/>
  <c r="L23" i="13"/>
  <c r="O23" i="13" s="1"/>
  <c r="L22" i="13"/>
  <c r="O22" i="13" s="1"/>
  <c r="Q21" i="13"/>
  <c r="P21" i="13"/>
  <c r="M21" i="13"/>
  <c r="L21" i="13"/>
  <c r="R20" i="13"/>
  <c r="M20" i="13"/>
  <c r="L20" i="13"/>
  <c r="R19" i="13"/>
  <c r="M19" i="13"/>
  <c r="L19" i="13"/>
  <c r="O19" i="13" s="1"/>
  <c r="R18" i="13"/>
  <c r="M18" i="13"/>
  <c r="L18" i="13"/>
  <c r="O18" i="13" s="1"/>
  <c r="L17" i="13"/>
  <c r="N17" i="13" s="1"/>
  <c r="P16" i="13"/>
  <c r="L16" i="13"/>
  <c r="N16" i="13" s="1"/>
  <c r="T16" i="13" s="1"/>
  <c r="P15" i="13"/>
  <c r="L15" i="13"/>
  <c r="N15" i="13" s="1"/>
  <c r="T15" i="13" s="1"/>
  <c r="R14" i="13"/>
  <c r="Q14" i="13"/>
  <c r="N14" i="13"/>
  <c r="R13" i="13"/>
  <c r="L13" i="13"/>
  <c r="O13" i="13" s="1"/>
  <c r="L12" i="13"/>
  <c r="N12" i="13" s="1"/>
  <c r="R11" i="13"/>
  <c r="P11" i="13"/>
  <c r="M11" i="13"/>
  <c r="L11" i="13"/>
  <c r="P10" i="13"/>
  <c r="M10" i="13"/>
  <c r="L10" i="13"/>
  <c r="O10" i="13" s="1"/>
  <c r="T9" i="13"/>
  <c r="R9" i="13"/>
  <c r="P9" i="13"/>
  <c r="M9" i="13"/>
  <c r="L9" i="13"/>
  <c r="O9" i="13" s="1"/>
  <c r="T8" i="13"/>
  <c r="R8" i="13"/>
  <c r="P8" i="13"/>
  <c r="M8" i="13"/>
  <c r="L8" i="13"/>
  <c r="O8" i="13" s="1"/>
  <c r="R7" i="13"/>
  <c r="M7" i="13"/>
  <c r="L7" i="13"/>
  <c r="O7" i="13" s="1"/>
  <c r="M6" i="13"/>
  <c r="L6" i="13"/>
  <c r="R5" i="13"/>
  <c r="P5" i="13"/>
  <c r="M5" i="13"/>
  <c r="L5" i="13"/>
  <c r="O5" i="13" s="1"/>
  <c r="Q4" i="13"/>
  <c r="P4" i="13" s="1"/>
  <c r="M4" i="13"/>
  <c r="L4" i="13"/>
  <c r="O4" i="13" s="1"/>
  <c r="R3" i="13"/>
  <c r="P3" i="13"/>
  <c r="M3" i="13"/>
  <c r="L3" i="13"/>
  <c r="O3" i="13" s="1"/>
  <c r="R2" i="13"/>
  <c r="P2" i="13"/>
  <c r="M2" i="13"/>
  <c r="L2" i="13"/>
  <c r="AI5" i="17" l="1"/>
  <c r="AK11" i="17"/>
  <c r="AL11" i="17" s="1"/>
  <c r="AK33" i="17"/>
  <c r="AL33" i="17" s="1"/>
  <c r="AF52" i="17"/>
  <c r="AG52" i="17"/>
  <c r="AI52" i="17"/>
  <c r="Z52" i="17"/>
  <c r="AH52" i="17"/>
  <c r="AA52" i="17"/>
  <c r="AB52" i="17"/>
  <c r="AC52" i="17"/>
  <c r="AD52" i="17"/>
  <c r="AE52" i="17"/>
  <c r="AA8" i="17"/>
  <c r="AI8" i="17"/>
  <c r="AH8" i="17"/>
  <c r="AB8" i="17"/>
  <c r="AD8" i="17"/>
  <c r="AC8" i="17"/>
  <c r="AE8" i="17"/>
  <c r="AG8" i="17"/>
  <c r="AF8" i="17"/>
  <c r="Z8" i="17"/>
  <c r="AF23" i="17"/>
  <c r="AA23" i="17"/>
  <c r="AG23" i="17"/>
  <c r="AI23" i="17"/>
  <c r="AH23" i="17"/>
  <c r="Z23" i="17"/>
  <c r="AB23" i="17"/>
  <c r="AC23" i="17"/>
  <c r="AE23" i="17"/>
  <c r="AD23" i="17"/>
  <c r="AI29" i="17"/>
  <c r="AA29" i="17"/>
  <c r="AB29" i="17"/>
  <c r="Z29" i="17"/>
  <c r="AC29" i="17"/>
  <c r="AF29" i="17"/>
  <c r="AG29" i="17"/>
  <c r="AD29" i="17"/>
  <c r="AE29" i="17"/>
  <c r="Z48" i="17"/>
  <c r="AG48" i="17"/>
  <c r="AH48" i="17"/>
  <c r="AA48" i="17"/>
  <c r="AC48" i="17"/>
  <c r="AB48" i="17"/>
  <c r="AD48" i="17"/>
  <c r="AE48" i="17"/>
  <c r="AF48" i="17"/>
  <c r="AI48" i="17"/>
  <c r="AK5" i="17"/>
  <c r="AL5" i="17" s="1"/>
  <c r="AG12" i="17"/>
  <c r="AH12" i="17"/>
  <c r="AA12" i="17"/>
  <c r="AI12" i="17"/>
  <c r="Z12" i="17"/>
  <c r="AB12" i="17"/>
  <c r="AD12" i="17"/>
  <c r="AE12" i="17"/>
  <c r="AF12" i="17"/>
  <c r="AC12" i="17"/>
  <c r="AK10" i="17"/>
  <c r="AL10" i="17" s="1"/>
  <c r="AK44" i="17"/>
  <c r="AL44" i="17" s="1"/>
  <c r="AF9" i="17"/>
  <c r="AA9" i="17"/>
  <c r="AG9" i="17"/>
  <c r="AI9" i="17"/>
  <c r="AH9" i="17"/>
  <c r="Z9" i="17"/>
  <c r="AB9" i="17"/>
  <c r="AE9" i="17"/>
  <c r="AD9" i="17"/>
  <c r="AC9" i="17"/>
  <c r="AE56" i="17"/>
  <c r="AA56" i="17"/>
  <c r="AF56" i="17"/>
  <c r="AG56" i="17"/>
  <c r="Z56" i="17"/>
  <c r="AB56" i="17"/>
  <c r="AD56" i="17"/>
  <c r="AC56" i="17"/>
  <c r="AI56" i="17"/>
  <c r="AH56" i="17"/>
  <c r="AK40" i="17"/>
  <c r="AL40" i="17" s="1"/>
  <c r="AC28" i="17"/>
  <c r="AD28" i="17"/>
  <c r="AF28" i="17"/>
  <c r="AE28" i="17"/>
  <c r="AG28" i="17"/>
  <c r="AI28" i="17"/>
  <c r="AH28" i="17"/>
  <c r="Z28" i="17"/>
  <c r="AA28" i="17"/>
  <c r="AB28" i="17"/>
  <c r="AG55" i="17"/>
  <c r="AB55" i="17"/>
  <c r="AH55" i="17"/>
  <c r="Z55" i="17"/>
  <c r="AI55" i="17"/>
  <c r="AA55" i="17"/>
  <c r="AC55" i="17"/>
  <c r="AD55" i="17"/>
  <c r="AE55" i="17"/>
  <c r="AF55" i="17"/>
  <c r="AD18" i="17"/>
  <c r="AA18" i="17"/>
  <c r="AB18" i="17"/>
  <c r="AC18" i="17"/>
  <c r="Z18" i="17"/>
  <c r="AH18" i="17"/>
  <c r="Y18" i="17"/>
  <c r="AI18" i="17" s="1"/>
  <c r="AE18" i="17"/>
  <c r="AF18" i="17"/>
  <c r="AG18" i="17"/>
  <c r="AB54" i="17"/>
  <c r="AE54" i="17"/>
  <c r="AC54" i="17"/>
  <c r="AD54" i="17"/>
  <c r="AI54" i="17"/>
  <c r="AF54" i="17"/>
  <c r="AG54" i="17"/>
  <c r="AH54" i="17"/>
  <c r="Z54" i="17"/>
  <c r="AA54" i="17"/>
  <c r="AK59" i="17"/>
  <c r="AL59" i="17" s="1"/>
  <c r="AK42" i="17"/>
  <c r="AL42" i="17" s="1"/>
  <c r="AC57" i="17"/>
  <c r="AD57" i="17"/>
  <c r="AE57" i="17"/>
  <c r="AF57" i="17"/>
  <c r="AG57" i="17"/>
  <c r="AI57" i="17"/>
  <c r="AH57" i="17"/>
  <c r="AA57" i="17"/>
  <c r="AB57" i="17"/>
  <c r="Z57" i="17"/>
  <c r="AE49" i="17"/>
  <c r="Z49" i="17"/>
  <c r="AF49" i="17"/>
  <c r="AG49" i="17"/>
  <c r="AH49" i="17"/>
  <c r="AA49" i="17"/>
  <c r="AB49" i="17"/>
  <c r="AC49" i="17"/>
  <c r="AD49" i="17"/>
  <c r="AI49" i="17"/>
  <c r="AE53" i="17"/>
  <c r="Z53" i="17"/>
  <c r="AF53" i="17"/>
  <c r="AI53" i="17"/>
  <c r="AA53" i="17"/>
  <c r="AC53" i="17"/>
  <c r="AB53" i="17"/>
  <c r="AD53" i="17"/>
  <c r="AG53" i="17"/>
  <c r="AH53" i="17"/>
  <c r="AK58" i="17"/>
  <c r="AL58" i="17" s="1"/>
  <c r="AK45" i="17"/>
  <c r="AL45" i="17" s="1"/>
  <c r="AG16" i="17"/>
  <c r="Z16" i="17"/>
  <c r="AB16" i="17"/>
  <c r="AI16" i="17"/>
  <c r="AH16" i="17"/>
  <c r="AA16" i="17"/>
  <c r="AC16" i="17"/>
  <c r="AD16" i="17"/>
  <c r="AE16" i="17"/>
  <c r="AF16" i="17"/>
  <c r="AK34" i="17"/>
  <c r="AL34" i="17" s="1"/>
  <c r="AE24" i="17"/>
  <c r="Z24" i="17"/>
  <c r="AI24" i="17"/>
  <c r="AA24" i="17"/>
  <c r="AC24" i="17"/>
  <c r="AB24" i="17"/>
  <c r="AD24" i="17"/>
  <c r="AF24" i="17"/>
  <c r="AG24" i="17"/>
  <c r="AH24" i="17"/>
  <c r="AB25" i="17"/>
  <c r="AI25" i="17"/>
  <c r="AC25" i="17"/>
  <c r="AE25" i="17"/>
  <c r="AD25" i="17"/>
  <c r="AF25" i="17"/>
  <c r="AG25" i="17"/>
  <c r="AH25" i="17"/>
  <c r="Z25" i="17"/>
  <c r="AA25" i="17"/>
  <c r="AK4" i="17"/>
  <c r="AL4" i="17" s="1"/>
  <c r="AD17" i="17"/>
  <c r="AE17" i="17"/>
  <c r="AG17" i="17"/>
  <c r="AI17" i="17"/>
  <c r="AF17" i="17"/>
  <c r="AH17" i="17"/>
  <c r="Z17" i="17"/>
  <c r="AA17" i="17"/>
  <c r="AB17" i="17"/>
  <c r="AC17" i="17"/>
  <c r="AA51" i="17"/>
  <c r="AI51" i="17"/>
  <c r="AD51" i="17"/>
  <c r="AB51" i="17"/>
  <c r="AC51" i="17"/>
  <c r="AE51" i="17"/>
  <c r="AH51" i="17"/>
  <c r="AF51" i="17"/>
  <c r="AG51" i="17"/>
  <c r="Z51" i="17"/>
  <c r="AK35" i="17"/>
  <c r="AL35" i="17" s="1"/>
  <c r="H5" i="18"/>
  <c r="S22" i="17"/>
  <c r="S17" i="17"/>
  <c r="N33" i="13"/>
  <c r="T33" i="13" s="1"/>
  <c r="N6" i="13"/>
  <c r="T6" i="13" s="1"/>
  <c r="N32" i="13"/>
  <c r="T32" i="13" s="1"/>
  <c r="N45" i="13"/>
  <c r="T45" i="13" s="1"/>
  <c r="N40" i="13"/>
  <c r="T40" i="13" s="1"/>
  <c r="N39" i="13"/>
  <c r="T39" i="13" s="1"/>
  <c r="N19" i="13"/>
  <c r="T19" i="13" s="1"/>
  <c r="N29" i="13"/>
  <c r="T29" i="13" s="1"/>
  <c r="N38" i="13"/>
  <c r="P38" i="13" s="1"/>
  <c r="N11" i="13"/>
  <c r="T11" i="13" s="1"/>
  <c r="N21" i="13"/>
  <c r="T21" i="13" s="1"/>
  <c r="N44" i="13"/>
  <c r="P44" i="13" s="1"/>
  <c r="N3" i="13"/>
  <c r="T3" i="13" s="1"/>
  <c r="N20" i="13"/>
  <c r="P20" i="13" s="1"/>
  <c r="N2" i="13"/>
  <c r="T2" i="13" s="1"/>
  <c r="O6" i="13"/>
  <c r="O45" i="13"/>
  <c r="N26" i="13"/>
  <c r="T26" i="13" s="1"/>
  <c r="N34" i="13"/>
  <c r="T34" i="13" s="1"/>
  <c r="O38" i="13"/>
  <c r="N27" i="13"/>
  <c r="T27" i="13" s="1"/>
  <c r="O29" i="13"/>
  <c r="O15" i="13"/>
  <c r="N13" i="13"/>
  <c r="T13" i="13" s="1"/>
  <c r="O44" i="13"/>
  <c r="O20" i="13"/>
  <c r="O12" i="13"/>
  <c r="N24" i="13"/>
  <c r="T24" i="13" s="1"/>
  <c r="N31" i="13"/>
  <c r="T31" i="13" s="1"/>
  <c r="N35" i="13"/>
  <c r="T35" i="13" s="1"/>
  <c r="N42" i="13"/>
  <c r="P42" i="13" s="1"/>
  <c r="O11" i="13"/>
  <c r="N18" i="13"/>
  <c r="T18" i="13" s="1"/>
  <c r="N4" i="13"/>
  <c r="T4" i="13" s="1"/>
  <c r="O34" i="13"/>
  <c r="O26" i="13"/>
  <c r="O2" i="13"/>
  <c r="N25" i="13"/>
  <c r="T25" i="13" s="1"/>
  <c r="O21" i="13"/>
  <c r="N36" i="13"/>
  <c r="T36" i="13" s="1"/>
  <c r="N43" i="13"/>
  <c r="T43" i="13" s="1"/>
  <c r="O33" i="13"/>
  <c r="O17" i="13"/>
  <c r="N28" i="13"/>
  <c r="T28" i="13" s="1"/>
  <c r="O32" i="13"/>
  <c r="O24" i="13"/>
  <c r="O16" i="13"/>
  <c r="R46" i="13"/>
  <c r="N10" i="13"/>
  <c r="T10" i="13" s="1"/>
  <c r="N22" i="13"/>
  <c r="P22" i="13" s="1"/>
  <c r="N41" i="13"/>
  <c r="P41" i="13" s="1"/>
  <c r="P33" i="13"/>
  <c r="N7" i="13"/>
  <c r="P7" i="13" s="1"/>
  <c r="N5" i="13"/>
  <c r="T5" i="13" s="1"/>
  <c r="T14" i="13"/>
  <c r="P12" i="13"/>
  <c r="T12" i="13"/>
  <c r="T17" i="13"/>
  <c r="P17" i="13"/>
  <c r="P25" i="13"/>
  <c r="P14" i="13"/>
  <c r="Q46" i="13"/>
  <c r="AK12" i="17" l="1"/>
  <c r="AL12" i="17" s="1"/>
  <c r="AK46" i="17"/>
  <c r="AL46" i="17" s="1"/>
  <c r="AK26" i="17"/>
  <c r="AL26" i="17" s="1"/>
  <c r="AK37" i="17"/>
  <c r="AL37" i="17" s="1"/>
  <c r="AK8" i="17"/>
  <c r="AL8" i="17" s="1"/>
  <c r="AK51" i="17"/>
  <c r="AL51" i="17" s="1"/>
  <c r="AK48" i="17"/>
  <c r="AL48" i="17" s="1"/>
  <c r="AK28" i="17"/>
  <c r="AL28" i="17" s="1"/>
  <c r="AA22" i="17"/>
  <c r="AI22" i="17"/>
  <c r="AD22" i="17"/>
  <c r="AB22" i="17"/>
  <c r="AC22" i="17"/>
  <c r="AE22" i="17"/>
  <c r="AH22" i="17"/>
  <c r="AF22" i="17"/>
  <c r="AG22" i="17"/>
  <c r="Z22" i="17"/>
  <c r="AK16" i="17"/>
  <c r="AL16" i="17" s="1"/>
  <c r="AK18" i="17"/>
  <c r="AL18" i="17" s="1"/>
  <c r="AK29" i="17"/>
  <c r="AL29" i="17" s="1"/>
  <c r="AK49" i="17"/>
  <c r="AL49" i="17" s="1"/>
  <c r="AK57" i="17"/>
  <c r="AL57" i="17" s="1"/>
  <c r="AK23" i="17"/>
  <c r="AL23" i="17" s="1"/>
  <c r="AK53" i="17"/>
  <c r="AL53" i="17" s="1"/>
  <c r="AK17" i="17"/>
  <c r="AL17" i="17" s="1"/>
  <c r="AK52" i="17"/>
  <c r="AL52" i="17" s="1"/>
  <c r="AK55" i="17"/>
  <c r="AL55" i="17" s="1"/>
  <c r="AK24" i="17"/>
  <c r="AL24" i="17" s="1"/>
  <c r="AK25" i="17"/>
  <c r="AL25" i="17" s="1"/>
  <c r="AK56" i="17"/>
  <c r="AL56" i="17" s="1"/>
  <c r="AK54" i="17"/>
  <c r="AL54" i="17" s="1"/>
  <c r="AK9" i="17"/>
  <c r="S72" i="17"/>
  <c r="I5" i="18"/>
  <c r="P6" i="13"/>
  <c r="P40" i="13"/>
  <c r="P39" i="13"/>
  <c r="T44" i="13"/>
  <c r="T38" i="13"/>
  <c r="T20" i="13"/>
  <c r="T7" i="13"/>
  <c r="P19" i="13"/>
  <c r="P43" i="13"/>
  <c r="P18" i="13"/>
  <c r="P36" i="13"/>
  <c r="T42" i="13"/>
  <c r="P13" i="13"/>
  <c r="T41" i="13"/>
  <c r="T22" i="13"/>
  <c r="N46" i="13"/>
  <c r="AK22" i="17" l="1"/>
  <c r="AL22" i="17" s="1"/>
  <c r="J5" i="18"/>
  <c r="R14" i="17"/>
  <c r="P46" i="13"/>
  <c r="AC72" i="17" l="1"/>
  <c r="AD72" i="17"/>
  <c r="AF72" i="17"/>
  <c r="AE72" i="17"/>
  <c r="AG72" i="17"/>
  <c r="AH72" i="17"/>
  <c r="D3" i="18"/>
  <c r="D5" i="18" s="1"/>
  <c r="AB72" i="17"/>
  <c r="AA72" i="17"/>
  <c r="K5" i="18"/>
  <c r="AJ72" i="17"/>
  <c r="M6" i="18" s="1"/>
  <c r="R72" i="17"/>
  <c r="B6" i="18" l="1"/>
  <c r="C6" i="18" s="1"/>
  <c r="M12" i="18"/>
  <c r="M15" i="18" s="1"/>
  <c r="Y72" i="17"/>
  <c r="AI14" i="17"/>
  <c r="AI72" i="17" s="1"/>
  <c r="R74" i="17"/>
  <c r="AK14" i="17"/>
  <c r="AL14" i="17" s="1"/>
  <c r="L5" i="18"/>
  <c r="M5" i="18"/>
  <c r="M8" i="18" s="1"/>
  <c r="D6" i="18" l="1"/>
  <c r="E6" i="18" s="1"/>
  <c r="F6" i="18" s="1"/>
  <c r="G6" i="18" s="1"/>
  <c r="H6" i="18" s="1"/>
  <c r="I6" i="18" s="1"/>
  <c r="J6" i="18" s="1"/>
  <c r="B8" i="18"/>
  <c r="B9" i="18" s="1"/>
  <c r="C8" i="18"/>
  <c r="C9" i="18" s="1"/>
  <c r="O2"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P45" i="10"/>
  <c r="L45" i="10"/>
  <c r="K45" i="10"/>
  <c r="P44" i="10"/>
  <c r="L44" i="10"/>
  <c r="K44" i="10"/>
  <c r="P43" i="10"/>
  <c r="L43" i="10"/>
  <c r="K43" i="10"/>
  <c r="P42" i="10"/>
  <c r="L42" i="10"/>
  <c r="K42" i="10"/>
  <c r="P41" i="10"/>
  <c r="N41" i="10"/>
  <c r="L41" i="10"/>
  <c r="K41" i="10"/>
  <c r="P40" i="10"/>
  <c r="L40" i="10"/>
  <c r="K40" i="10"/>
  <c r="P39" i="10"/>
  <c r="L39" i="10"/>
  <c r="K39" i="10"/>
  <c r="P38" i="10"/>
  <c r="L38" i="10"/>
  <c r="K38" i="10"/>
  <c r="P37" i="10"/>
  <c r="L37" i="10"/>
  <c r="K37" i="10"/>
  <c r="L36" i="10"/>
  <c r="K36" i="10"/>
  <c r="L35" i="10"/>
  <c r="K35" i="10"/>
  <c r="N34" i="10"/>
  <c r="L34" i="10"/>
  <c r="K34" i="10"/>
  <c r="N33" i="10"/>
  <c r="L33" i="10"/>
  <c r="K33" i="10"/>
  <c r="P32" i="10"/>
  <c r="L32" i="10"/>
  <c r="K32" i="10"/>
  <c r="L31" i="10"/>
  <c r="K31" i="10"/>
  <c r="P30" i="10"/>
  <c r="L30" i="10"/>
  <c r="K30" i="10"/>
  <c r="P29" i="10"/>
  <c r="L29" i="10"/>
  <c r="K29" i="10"/>
  <c r="P28" i="10"/>
  <c r="L28" i="10"/>
  <c r="K28" i="10"/>
  <c r="P27" i="10"/>
  <c r="N27" i="10"/>
  <c r="L27" i="10"/>
  <c r="K27" i="10"/>
  <c r="P26" i="10"/>
  <c r="N26" i="10"/>
  <c r="L26" i="10"/>
  <c r="K26" i="10"/>
  <c r="P25" i="10"/>
  <c r="N25" i="10"/>
  <c r="L25" i="10"/>
  <c r="K25" i="10"/>
  <c r="P24" i="10"/>
  <c r="N24" i="10"/>
  <c r="L24" i="10"/>
  <c r="K24" i="10"/>
  <c r="L23" i="10"/>
  <c r="K23" i="10"/>
  <c r="L22" i="10"/>
  <c r="K22" i="10"/>
  <c r="N21" i="10"/>
  <c r="L21" i="10"/>
  <c r="K21" i="10"/>
  <c r="P20" i="10"/>
  <c r="L20" i="10"/>
  <c r="K20" i="10"/>
  <c r="P19" i="10"/>
  <c r="L19" i="10"/>
  <c r="K19" i="10"/>
  <c r="P18" i="10"/>
  <c r="L18" i="10"/>
  <c r="K18" i="10"/>
  <c r="L17" i="10"/>
  <c r="K17" i="10"/>
  <c r="L16" i="10"/>
  <c r="K16" i="10"/>
  <c r="L15" i="10"/>
  <c r="K15" i="10"/>
  <c r="P14" i="10"/>
  <c r="N14" i="10"/>
  <c r="M14" i="10"/>
  <c r="P13" i="10"/>
  <c r="L13" i="10"/>
  <c r="K13" i="10"/>
  <c r="L12" i="10"/>
  <c r="K12" i="10"/>
  <c r="P11" i="10"/>
  <c r="L11" i="10"/>
  <c r="K11" i="10"/>
  <c r="L10" i="10"/>
  <c r="K10" i="10"/>
  <c r="P9" i="10"/>
  <c r="L9" i="10"/>
  <c r="K9" i="10"/>
  <c r="P8" i="10"/>
  <c r="L8" i="10"/>
  <c r="K8" i="10"/>
  <c r="P7" i="10"/>
  <c r="L7" i="10"/>
  <c r="K7" i="10"/>
  <c r="L6" i="10"/>
  <c r="K6" i="10"/>
  <c r="P5" i="10"/>
  <c r="L5" i="10"/>
  <c r="K5" i="10"/>
  <c r="N4" i="10"/>
  <c r="L4" i="10"/>
  <c r="K4" i="10"/>
  <c r="P3" i="10"/>
  <c r="L3" i="10"/>
  <c r="K3" i="10"/>
  <c r="P2" i="10"/>
  <c r="L2" i="10"/>
  <c r="K2" i="10"/>
  <c r="D8" i="18" l="1"/>
  <c r="D9" i="18" s="1"/>
  <c r="E8" i="18"/>
  <c r="M3" i="10"/>
  <c r="M21" i="10"/>
  <c r="M12" i="10"/>
  <c r="M15" i="10"/>
  <c r="M43" i="10"/>
  <c r="M7" i="10"/>
  <c r="M22" i="10"/>
  <c r="M25" i="10"/>
  <c r="M35" i="10"/>
  <c r="M11" i="10"/>
  <c r="M42" i="10"/>
  <c r="M18" i="10"/>
  <c r="M24" i="10"/>
  <c r="M26" i="10"/>
  <c r="M41" i="10"/>
  <c r="M10" i="10"/>
  <c r="M44" i="10"/>
  <c r="M6" i="10"/>
  <c r="M29" i="10"/>
  <c r="M2" i="10"/>
  <c r="M17" i="10"/>
  <c r="M20" i="10"/>
  <c r="M33" i="10"/>
  <c r="M39" i="10"/>
  <c r="M5" i="10"/>
  <c r="N46" i="10"/>
  <c r="M28" i="10"/>
  <c r="M36" i="10"/>
  <c r="M13" i="10"/>
  <c r="M16" i="10"/>
  <c r="M19" i="10"/>
  <c r="M31" i="10"/>
  <c r="M34" i="10"/>
  <c r="M40" i="10"/>
  <c r="M4" i="10"/>
  <c r="M27" i="10"/>
  <c r="M32" i="10"/>
  <c r="M38" i="10"/>
  <c r="M45" i="10"/>
  <c r="P46" i="10"/>
  <c r="F8" i="18" l="1"/>
  <c r="G8" i="18" l="1"/>
  <c r="H8" i="18" l="1"/>
  <c r="I8" i="18" l="1"/>
  <c r="K6" i="18" l="1"/>
  <c r="J8" i="18"/>
  <c r="L6" i="18" l="1"/>
  <c r="L8" i="18" s="1"/>
  <c r="K8" i="18"/>
  <c r="AL9" i="17" l="1"/>
  <c r="AL2" i="17"/>
  <c r="Z72" i="17"/>
  <c r="AL72" i="17" l="1"/>
  <c r="AK72" i="17"/>
  <c r="M7" i="18" s="1"/>
  <c r="H7" i="18" l="1"/>
  <c r="E7" i="18"/>
  <c r="F7" i="18"/>
  <c r="G7" i="18"/>
  <c r="I7" i="18"/>
  <c r="J7" i="18"/>
  <c r="K7" i="18"/>
  <c r="L7" i="18"/>
  <c r="H54" i="20"/>
  <c r="G103" i="20"/>
  <c r="L54" i="20" l="1" a="1"/>
  <c r="L54" i="20" s="1"/>
  <c r="L103" i="20" s="1"/>
  <c r="L106" i="20" s="1"/>
  <c r="H103"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tc={E6EF8BFC-142D-4646-83F7-5779C7D2C13E}</author>
    <author>tc={5574D00B-A78E-4F54-8808-E420EFDABC83}</author>
    <author>tc={84187B6E-06FA-4C03-93FE-523A86A68C11}</author>
    <author>tc={A82E9DA7-3E0C-4F71-9361-55BD47FA2A13}</author>
    <author>tc={638789F1-BA06-4C44-8BDA-C14C3CF428A1}</author>
    <author>tc={CCB0C1B8-C186-4B96-939B-42C1B2143E80}</author>
    <author>tc={48FB2644-FBA8-42A6-A581-017BEB8BEF40}</author>
    <author>tc={17975903-987B-4017-8A5D-FADD30F77E17}</author>
    <author>tc={9EF6D2F1-FE3C-46A2-83F3-5B0429E3FD25}</author>
    <author>tc={943C5BD5-E2A4-4ECE-B479-78E9E5E87C36}</author>
    <author>tc={12BE871A-0EAF-4936-A2DD-C4101231A1F2}</author>
  </authors>
  <commentList>
    <comment ref="F8" authorId="0" shapeId="0" xr:uid="{E6EF8BFC-142D-4646-83F7-5779C7D2C13E}">
      <text>
        <t>[Threaded comment]
Your version of Excel allows you to read this threaded comment; however, any edits to it will get removed if the file is opened in a newer version of Excel. Learn more: https://go.microsoft.com/fwlink/?linkid=870924
Comment:
    @Karaivanov Stanislav (BD/SPB-APA9) resource group changed --&gt; now Cluj</t>
      </text>
    </comment>
    <comment ref="I9" authorId="1" shapeId="0" xr:uid="{5574D00B-A78E-4F54-8808-E420EFDABC83}">
      <text>
        <t xml:space="preserve">[Threaded comment]
Your version of Excel allows you to read this threaded comment; however, any edits to it will get removed if the file is opened in a newer version of Excel. Learn more: https://go.microsoft.com/fwlink/?linkid=870924
Comment:
    @Hodzic Alkis (PS-CV/EES PS-SC/XPS) macht es Sinn die Aufgaben von Manish nach Cluj zu transferieren?
Reply:
    JA wie besprochen. </t>
      </text>
    </comment>
    <comment ref="P9" authorId="2" shapeId="0" xr:uid="{84187B6E-06FA-4C03-93FE-523A86A68C11}">
      <text>
        <t>[Threaded comment]
Your version of Excel allows you to read this threaded comment; however, any edits to it will get removed if the file is opened in a newer version of Excel. Learn more: https://go.microsoft.com/fwlink/?linkid=870924
Comment:
    Should be transfered to Cluj M2026</t>
      </text>
    </comment>
    <comment ref="C16" authorId="3" shapeId="0" xr:uid="{A82E9DA7-3E0C-4F71-9361-55BD47FA2A13}">
      <text>
        <t>[Threaded comment]
Your version of Excel allows you to read this threaded comment; however, any edits to it will get removed if the file is opened in a newer version of Excel. Learn more: https://go.microsoft.com/fwlink/?linkid=870924
Comment:
    Changed from 002 to 003: all resource groups in Germany should be at 003. Need to be changed in MCR also.</t>
      </text>
    </comment>
    <comment ref="F17" authorId="4" shapeId="0" xr:uid="{638789F1-BA06-4C44-8BDA-C14C3CF428A1}">
      <text>
        <t>[Threaded comment]
Your version of Excel allows you to read this threaded comment; however, any edits to it will get removed if the file is opened in a newer version of Excel. Learn more: https://go.microsoft.com/fwlink/?linkid=870924
Comment:
    @Karaivanov Stanislav (BD/SPB-APA9) resource group changed --&gt; now Cluj
Reply:
    @Karaivanov Stanislav (BD/SPB-APA9)  changed from Germany to Cluj and 007 to 006 (no ögP)</t>
      </text>
    </comment>
    <comment ref="C22" authorId="5" shapeId="0" xr:uid="{CCB0C1B8-C186-4B96-939B-42C1B2143E80}">
      <text>
        <t>[Threaded comment]
Your version of Excel allows you to read this threaded comment; however, any edits to it will get removed if the file is opened in a newer version of Excel. Learn more: https://go.microsoft.com/fwlink/?linkid=870924
Comment:
    Changed from 003 to 002: all resource groups in Germany should be at 003. Need to be changed in MCR also.</t>
      </text>
    </comment>
    <comment ref="L23" authorId="6" shapeId="0" xr:uid="{48FB2644-FBA8-42A6-A581-017BEB8BEF40}">
      <text>
        <t xml:space="preserve">[Threaded comment]
Your version of Excel allows you to read this threaded comment; however, any edits to it will get removed if the file is opened in a newer version of Excel. Learn more: https://go.microsoft.com/fwlink/?linkid=870924
Comment:
    Input Rainer from 20-Nov-25: Move plan for "Lakshmi" from 35% to 50%
</t>
      </text>
    </comment>
    <comment ref="F24" authorId="7" shapeId="0" xr:uid="{17975903-987B-4017-8A5D-FADD30F77E17}">
      <text>
        <t>[Threaded comment]
Your version of Excel allows you to read this threaded comment; however, any edits to it will get removed if the file is opened in a newer version of Excel. Learn more: https://go.microsoft.com/fwlink/?linkid=870924
Comment:
    @Karaivanov Stanislav (BD/SPB-APA9) resource group changed --&gt; now Cluj
Reply:
    @Karaivanov Stanislav (BD/SPB-APA9)  changed from Germany to Cluj and 007 to 006 (no ögP)
Reply:
    @Karaivanov Stanislav (BD/SPB-APA9)  changed from India to Cluj</t>
      </text>
    </comment>
    <comment ref="C48" authorId="8" shapeId="0" xr:uid="{9EF6D2F1-FE3C-46A2-83F3-5B0429E3FD25}">
      <text>
        <t>[Threaded comment]
Your version of Excel allows you to read this threaded comment; however, any edits to it will get removed if the file is opened in a newer version of Excel. Learn more: https://go.microsoft.com/fwlink/?linkid=870924
Comment:
    Changed from 003 to 002: all resource groups in Germany should be at 003. Need to be changed in MCR also.</t>
      </text>
    </comment>
    <comment ref="W51" authorId="9" shapeId="0" xr:uid="{943C5BD5-E2A4-4ECE-B479-78E9E5E87C36}">
      <text>
        <t>[Threaded comment]
Your version of Excel allows you to read this threaded comment; however, any edits to it will get removed if the file is opened in a newer version of Excel. Learn more: https://go.microsoft.com/fwlink/?linkid=870924
Comment:
    Includes booking of Frank David = 16632 EUR in Jan-26.</t>
      </text>
    </comment>
    <comment ref="C54" authorId="10" shapeId="0" xr:uid="{12BE871A-0EAF-4936-A2DD-C4101231A1F2}">
      <text>
        <t>[Threaded comment]
Your version of Excel allows you to read this threaded comment; however, any edits to it will get removed if the file is opened in a newer version of Excel. Learn more: https://go.microsoft.com/fwlink/?linkid=870924
Comment:
    Changed from 002 to 003: all resource groups in Germany should be at 003. Need to be changed in MCR also.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tc={6F8E7A13-BAA1-477F-AD6E-700CC1B997C8}</author>
    <author>tc={D5B14BF9-A1CC-4C50-8E0D-0455A0136DE4}</author>
    <author>tc={870603D2-7CA2-40D5-A6B9-1027875D4B04}</author>
    <author>tc={DE81F7D5-6548-416F-AA58-79B006BBE878}</author>
    <author>tc={C761671F-C1DE-4996-AD04-ADDF43CBDB2E}</author>
  </authors>
  <commentList>
    <comment ref="C5" authorId="0" shapeId="0" xr:uid="{6F8E7A13-BAA1-477F-AD6E-700CC1B997C8}">
      <text>
        <t>[Threaded comment]
Your version of Excel allows you to read this threaded comment; however, any edits to it will get removed if the file is opened in a newer version of Excel. Learn more: https://go.microsoft.com/fwlink/?linkid=870924
Comment:
    @Karaivanov Stanislav (BD/SPB-APA9) resource group changed --&gt; now Cluj</t>
      </text>
    </comment>
    <comment ref="G6" authorId="1" shapeId="0" xr:uid="{D5B14BF9-A1CC-4C50-8E0D-0455A0136DE4}">
      <text>
        <t xml:space="preserve">[Threaded comment]
Your version of Excel allows you to read this threaded comment; however, any edits to it will get removed if the file is opened in a newer version of Excel. Learn more: https://go.microsoft.com/fwlink/?linkid=870924
Comment:
    @Hodzic Alkis (PS-CV/EES PS-SC/XPS) macht es Sinn die Aufgaben von Manish nach Cluj zu transferieren?
Reply:
    JA wie besprochen. </t>
      </text>
    </comment>
    <comment ref="I6" authorId="2" shapeId="0" xr:uid="{870603D2-7CA2-40D5-A6B9-1027875D4B04}">
      <text>
        <t>[Threaded comment]
Your version of Excel allows you to read this threaded comment; however, any edits to it will get removed if the file is opened in a newer version of Excel. Learn more: https://go.microsoft.com/fwlink/?linkid=870924
Comment:
    Should be transfered to Cluj M2026</t>
      </text>
    </comment>
    <comment ref="C12" authorId="3" shapeId="0" xr:uid="{DE81F7D5-6548-416F-AA58-79B006BBE878}">
      <text>
        <t>[Threaded comment]
Your version of Excel allows you to read this threaded comment; however, any edits to it will get removed if the file is opened in a newer version of Excel. Learn more: https://go.microsoft.com/fwlink/?linkid=870924
Comment:
    @Karaivanov Stanislav (BD/SPB-APA9) resource group changed --&gt; now Cluj
Reply:
    @Karaivanov Stanislav (BD/SPB-APA9)  changed from Germany to Cluj and 007 to 006 (no ögP)</t>
      </text>
    </comment>
    <comment ref="C18" authorId="4" shapeId="0" xr:uid="{C761671F-C1DE-4996-AD04-ADDF43CBDB2E}">
      <text>
        <t>[Threaded comment]
Your version of Excel allows you to read this threaded comment; however, any edits to it will get removed if the file is opened in a newer version of Excel. Learn more: https://go.microsoft.com/fwlink/?linkid=870924
Comment:
    @Karaivanov Stanislav (BD/SPB-APA9) resource group changed --&gt; now Cluj
Reply:
    @Karaivanov Stanislav (BD/SPB-APA9)  changed from Germany to Cluj and 007 to 006 (no ögP)
Reply:
    @Karaivanov Stanislav (BD/SPB-APA9)  changed from India to Cluj</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tc={52F0649A-B23D-42F3-A950-590A671B5715}</author>
    <author>tc={FEC18F7B-02C2-49EC-BFE4-C4CD082B2D1F}</author>
    <author>tc={26C1A80C-445D-4ECF-A309-7790E3956DDC}</author>
    <author>tc={84A7DD3A-A64E-441A-A290-89A68A249466}</author>
  </authors>
  <commentList>
    <comment ref="K18" authorId="0" shapeId="0" xr:uid="{52F0649A-B23D-42F3-A950-590A671B5715}">
      <text>
        <t>[Threaded comment]
Your version of Excel allows you to read this threaded comment; however, any edits to it will get removed if the file is opened in a newer version of Excel. Learn more: https://go.microsoft.com/fwlink/?linkid=870924
Comment:
    FTE to be confirmed</t>
      </text>
    </comment>
    <comment ref="K20" authorId="1" shapeId="0" xr:uid="{FEC18F7B-02C2-49EC-BFE4-C4CD082B2D1F}">
      <text>
        <t>[Threaded comment]
Your version of Excel allows you to read this threaded comment; however, any edits to it will get removed if the file is opened in a newer version of Excel. Learn more: https://go.microsoft.com/fwlink/?linkid=870924
Comment:
    same as 2025</t>
      </text>
    </comment>
    <comment ref="R22" authorId="2" shapeId="0" xr:uid="{26C1A80C-445D-4ECF-A309-7790E3956DDC}">
      <text>
        <t>[Threaded comment]
Your version of Excel allows you to read this threaded comment; however, any edits to it will get removed if the file is opened in a newer version of Excel. Learn more: https://go.microsoft.com/fwlink/?linkid=870924
Comment:
    For 2026 it would be ~200.600 €</t>
      </text>
    </comment>
    <comment ref="Q35" authorId="3" shapeId="0" xr:uid="{84A7DD3A-A64E-441A-A290-89A68A249466}">
      <text>
        <t>[Threaded comment]
Your version of Excel allows you to read this threaded comment; however, any edits to it will get removed if the file is opened in a newer version of Excel. Learn more: https://go.microsoft.com/fwlink/?linkid=870924
Comment:
    @Karaivanov Stanislav (BD/SPB-APA9)  is that really the cost for Oleg?</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tc={8E6AF58A-4163-4505-BB69-1731F5F11162}</author>
    <author>tc={50C8A6FA-5943-484D-A5F0-5981EF4DD9E8}</author>
    <author>tc={72C18A7C-75E3-4303-A342-BACF83469022}</author>
    <author>tc={0825A95E-DE34-45D2-B59B-71800C610FE0}</author>
    <author>tc={60583E49-43C6-40C7-AD6E-7E8339A58C3F}</author>
  </authors>
  <commentList>
    <comment ref="C5" authorId="0" shapeId="0" xr:uid="{8E6AF58A-4163-4505-BB69-1731F5F11162}">
      <text>
        <t>[Threaded comment]
Your version of Excel allows you to read this threaded comment; however, any edits to it will get removed if the file is opened in a newer version of Excel. Learn more: https://go.microsoft.com/fwlink/?linkid=870924
Comment:
    @Karaivanov Stanislav (BD/SPB-APA9) resource group changed --&gt; now Cluj</t>
      </text>
    </comment>
    <comment ref="G6" authorId="1" shapeId="0" xr:uid="{50C8A6FA-5943-484D-A5F0-5981EF4DD9E8}">
      <text>
        <t xml:space="preserve">[Threaded comment]
Your version of Excel allows you to read this threaded comment; however, any edits to it will get removed if the file is opened in a newer version of Excel. Learn more: https://go.microsoft.com/fwlink/?linkid=870924
Comment:
    @Hodzic Alkis (PS-CV/EES PS-SC/XPS) macht es Sinn die Aufgaben von Manish nach Cluj zu transferieren?
Reply:
    JA wie besprochen. </t>
      </text>
    </comment>
    <comment ref="I6" authorId="2" shapeId="0" xr:uid="{72C18A7C-75E3-4303-A342-BACF83469022}">
      <text>
        <t>[Threaded comment]
Your version of Excel allows you to read this threaded comment; however, any edits to it will get removed if the file is opened in a newer version of Excel. Learn more: https://go.microsoft.com/fwlink/?linkid=870924
Comment:
    Should be transfered to Cluj M2026</t>
      </text>
    </comment>
    <comment ref="C12" authorId="3" shapeId="0" xr:uid="{0825A95E-DE34-45D2-B59B-71800C610FE0}">
      <text>
        <t>[Threaded comment]
Your version of Excel allows you to read this threaded comment; however, any edits to it will get removed if the file is opened in a newer version of Excel. Learn more: https://go.microsoft.com/fwlink/?linkid=870924
Comment:
    @Karaivanov Stanislav (BD/SPB-APA9) resource group changed --&gt; now Cluj
Reply:
    @Karaivanov Stanislav (BD/SPB-APA9)  changed from Germany to Cluj and 007 to 006 (no ögP)</t>
      </text>
    </comment>
    <comment ref="C18" authorId="4" shapeId="0" xr:uid="{60583E49-43C6-40C7-AD6E-7E8339A58C3F}">
      <text>
        <t>[Threaded comment]
Your version of Excel allows you to read this threaded comment; however, any edits to it will get removed if the file is opened in a newer version of Excel. Learn more: https://go.microsoft.com/fwlink/?linkid=870924
Comment:
    @Karaivanov Stanislav (BD/SPB-APA9) resource group changed --&gt; now Cluj
Reply:
    @Karaivanov Stanislav (BD/SPB-APA9)  changed from Germany to Cluj and 007 to 006 (no ögP)
Reply:
    @Karaivanov Stanislav (BD/SPB-APA9)  changed from India to Cluj</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tc={AA803A88-EE5E-4307-B0E9-32130E5BEFA3}</author>
    <author>tc={8527129E-D81F-4807-8DA0-2931F88740E9}</author>
    <author>tc={4353D83A-AA57-4EF6-BAEE-D39E2AA6CA7D}</author>
    <author>tc={E905B159-7579-4CFA-A5AC-321D3CC75106}</author>
  </authors>
  <commentList>
    <comment ref="J18" authorId="0" shapeId="0" xr:uid="{AA803A88-EE5E-4307-B0E9-32130E5BEFA3}">
      <text>
        <t>[Threaded comment]
Your version of Excel allows you to read this threaded comment; however, any edits to it will get removed if the file is opened in a newer version of Excel. Learn more: https://go.microsoft.com/fwlink/?linkid=870924
Comment:
    FTE to be confirmed</t>
      </text>
    </comment>
    <comment ref="J20" authorId="1" shapeId="0" xr:uid="{8527129E-D81F-4807-8DA0-2931F88740E9}">
      <text>
        <t>[Threaded comment]
Your version of Excel allows you to read this threaded comment; however, any edits to it will get removed if the file is opened in a newer version of Excel. Learn more: https://go.microsoft.com/fwlink/?linkid=870924
Comment:
    same as 2025</t>
      </text>
    </comment>
    <comment ref="P22" authorId="2" shapeId="0" xr:uid="{4353D83A-AA57-4EF6-BAEE-D39E2AA6CA7D}">
      <text>
        <t>[Threaded comment]
Your version of Excel allows you to read this threaded comment; however, any edits to it will get removed if the file is opened in a newer version of Excel. Learn more: https://go.microsoft.com/fwlink/?linkid=870924
Comment:
    For 2026 it would be ~200.600 €</t>
      </text>
    </comment>
    <comment ref="N35" authorId="3" shapeId="0" xr:uid="{E905B159-7579-4CFA-A5AC-321D3CC75106}">
      <text>
        <t>[Threaded comment]
Your version of Excel allows you to read this threaded comment; however, any edits to it will get removed if the file is opened in a newer version of Excel. Learn more: https://go.microsoft.com/fwlink/?linkid=870924
Comment:
    @Karaivanov Stanislav (BD/SPB-APA9)  is that really the cost for Oleg?</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<sst xmlns="http://schemas.openxmlformats.org/spreadsheetml/2006/main" count="2683" uniqueCount="455">
  <si>
    <t>Prognosis</t>
  </si>
  <si>
    <t>Team bucket</t>
  </si>
  <si>
    <t>New Team bucket</t>
  </si>
  <si>
    <t>New MCR ID</t>
  </si>
  <si>
    <t>WBS</t>
  </si>
  <si>
    <t>Task name</t>
  </si>
  <si>
    <t>Resource group</t>
  </si>
  <si>
    <t>Orga new</t>
  </si>
  <si>
    <t>Cost type</t>
  </si>
  <si>
    <t>Person booking</t>
  </si>
  <si>
    <t>BP26 FTE (%) - input</t>
  </si>
  <si>
    <t>Target Responsible</t>
  </si>
  <si>
    <t>CF02 FTE(%) - input</t>
  </si>
  <si>
    <t>Total Hrs 2026</t>
  </si>
  <si>
    <t>Rate 2026</t>
  </si>
  <si>
    <t xml:space="preserve">Personnel costs </t>
  </si>
  <si>
    <t>C-Hub Cust Ext</t>
  </si>
  <si>
    <t>CF02</t>
  </si>
  <si>
    <t>CF02 C-Hub Cust Ext</t>
  </si>
  <si>
    <t>CF05 C-Hub Cust Ext</t>
  </si>
  <si>
    <t>Comments</t>
  </si>
  <si>
    <t>Act Jan-25</t>
  </si>
  <si>
    <t>Act Feb-25</t>
  </si>
  <si>
    <t>Act Mar-25</t>
  </si>
  <si>
    <t>Act Apr-25</t>
  </si>
  <si>
    <t>Act May-25</t>
  </si>
  <si>
    <t>Act Jun-25</t>
  </si>
  <si>
    <t>Act Jul-25</t>
  </si>
  <si>
    <t>Act Aug-25</t>
  </si>
  <si>
    <t>Act Sep-25</t>
  </si>
  <si>
    <t>Act Oct-25</t>
  </si>
  <si>
    <t>Act Nov-25</t>
  </si>
  <si>
    <t>Act Dec-25</t>
  </si>
  <si>
    <t>YTD Actuals 2025</t>
  </si>
  <si>
    <t>BAC (CF05 Plan)</t>
  </si>
  <si>
    <t>EAC (based on YTD actuals)</t>
  </si>
  <si>
    <t>Gap</t>
  </si>
  <si>
    <t>Column1</t>
  </si>
  <si>
    <t>Refunding</t>
  </si>
  <si>
    <t>BM-00110021_003</t>
  </si>
  <si>
    <t>BM-00110021_003_00000006</t>
  </si>
  <si>
    <t>Refunding for C-Hub main project ögP</t>
  </si>
  <si>
    <t>PS-SC/CE-EU, CE-PE Publicly Funded Project - Refunding</t>
  </si>
  <si>
    <t>(blank)</t>
  </si>
  <si>
    <t>Stretch target</t>
  </si>
  <si>
    <t>BM-00110021_002</t>
  </si>
  <si>
    <t>Stretch target (budget cut)</t>
  </si>
  <si>
    <t>PS-SC/PAC Other Costs</t>
  </si>
  <si>
    <t>Budget cut =  400k€, set initially on 27-Jan-26 in _003</t>
  </si>
  <si>
    <t>BM-00110021_005</t>
  </si>
  <si>
    <t>Refunding for C-Hub XC ögP</t>
  </si>
  <si>
    <t>Customer specific effort</t>
  </si>
  <si>
    <t>Customer integrations</t>
  </si>
  <si>
    <t>PA-CS</t>
  </si>
  <si>
    <t>Other cost</t>
  </si>
  <si>
    <t>assumtption: 10 customer á 80k€</t>
  </si>
  <si>
    <t>Cojali Development</t>
  </si>
  <si>
    <t>BM-00110021_002_00000005</t>
  </si>
  <si>
    <t>MA for vehicle configuration</t>
  </si>
  <si>
    <t>ETAS</t>
  </si>
  <si>
    <t>Dirk needed for tranfer to PS</t>
  </si>
  <si>
    <t xml:space="preserve">PO #0087207184,  C-Hub Content &amp; Consultation Q1-Q3 2026 </t>
  </si>
  <si>
    <t>Manually added cost</t>
  </si>
  <si>
    <t>For Actual only, do not plan in MCR</t>
  </si>
  <si>
    <t>RM+RD config + Cojali + Pantaris configs</t>
  </si>
  <si>
    <t>PS-SC/EDS_PS-SC EDS_PS-SC_XPS</t>
  </si>
  <si>
    <t>Cluj</t>
  </si>
  <si>
    <t>Personnel cost</t>
  </si>
  <si>
    <t>NN</t>
  </si>
  <si>
    <t>Alkis</t>
  </si>
  <si>
    <t>tbd w/ Alin: who is staffed here</t>
  </si>
  <si>
    <t>Service Delivery OPS &amp; Support</t>
  </si>
  <si>
    <t>MS/ECP-PS-IN_iGPM SW-Services_DP</t>
  </si>
  <si>
    <t>IN</t>
  </si>
  <si>
    <t>Dhingra, Manish</t>
  </si>
  <si>
    <t>Ann/Alexander</t>
  </si>
  <si>
    <t>E2E C-Hub System Team</t>
  </si>
  <si>
    <t>Data / rev. Eng. and AI</t>
  </si>
  <si>
    <t>other cost</t>
  </si>
  <si>
    <t>Other costs</t>
  </si>
  <si>
    <t>Series Logistics Concept</t>
  </si>
  <si>
    <t>M</t>
  </si>
  <si>
    <t>NA Activities</t>
  </si>
  <si>
    <t>NA ENG Team</t>
  </si>
  <si>
    <t>NA Team + other cost</t>
  </si>
  <si>
    <t>PS-SC/EBR-NA SW Eng</t>
  </si>
  <si>
    <t>PA-CS/NA</t>
  </si>
  <si>
    <t>BM-00110021_002_00000008</t>
  </si>
  <si>
    <t>VCS SW maintance</t>
  </si>
  <si>
    <t>VCS</t>
  </si>
  <si>
    <t>Walter/Rainer klärt mit Daniel</t>
  </si>
  <si>
    <t>27-Feb: Lates planning = 222 kEUR</t>
  </si>
  <si>
    <t>Sys-Integration &amp; Testing</t>
  </si>
  <si>
    <t>System integration and performing V&amp;V</t>
  </si>
  <si>
    <t>PS-SC/XPS PS-SC XPS development</t>
  </si>
  <si>
    <t>Weiss Patrick (PS-SC/XPS)</t>
  </si>
  <si>
    <t>PjM, Biz Dev, service mng</t>
  </si>
  <si>
    <t>Operations L1/L2 Incident/Problem/Monitoring</t>
  </si>
  <si>
    <t>Sorina (support) + Bianca + Maria (200%)</t>
  </si>
  <si>
    <t>Ann</t>
  </si>
  <si>
    <t>tbd w/ Alin: is that working out</t>
  </si>
  <si>
    <t>Service Management</t>
  </si>
  <si>
    <t>PS-SC/ETX</t>
  </si>
  <si>
    <t>Lausch, Ann Kathrin / Cluj PS-SC/ETX</t>
  </si>
  <si>
    <t>Rainer</t>
  </si>
  <si>
    <t>OPS Team EU (VI)</t>
  </si>
  <si>
    <t>BM-00110021_002_00000009</t>
  </si>
  <si>
    <t>Service Operation EU - VI</t>
  </si>
  <si>
    <t>Operation</t>
  </si>
  <si>
    <t>Other cost?</t>
  </si>
  <si>
    <t>to be aligned with Gernot</t>
  </si>
  <si>
    <t>OPS Team NA (VI)</t>
  </si>
  <si>
    <t>BM-00110021_002_00000010</t>
  </si>
  <si>
    <t>Service Operation NA - VI</t>
  </si>
  <si>
    <t>Partner Management</t>
  </si>
  <si>
    <t>Partner Manager</t>
  </si>
  <si>
    <t>PS-SC/PAC PAC1</t>
  </si>
  <si>
    <t>Hornung, Floyd?</t>
  </si>
  <si>
    <t>Ciolte Natalia Liliana (PS-SC/ETX1)</t>
  </si>
  <si>
    <t>Supporting Functions</t>
  </si>
  <si>
    <t>EPQ</t>
  </si>
  <si>
    <t>Lakshmi, Ramakrishnan</t>
  </si>
  <si>
    <t>Security Manager</t>
  </si>
  <si>
    <t xml:space="preserve">Covasa Szilard Fineas (PS-SC/EDS1) </t>
  </si>
  <si>
    <t>Lakshmi</t>
  </si>
  <si>
    <t>Support BGSW (Arun)</t>
  </si>
  <si>
    <t>MS/END-IN_iGPM Mechanical_Design_Services_W/O_CAD_SW_PS_Sensors</t>
  </si>
  <si>
    <t>Palanisamy, Babu</t>
  </si>
  <si>
    <t>BM-00110021_002_00000011</t>
  </si>
  <si>
    <t>BD Support (Technical Documentation)</t>
  </si>
  <si>
    <t>BD</t>
  </si>
  <si>
    <t>Marianne</t>
  </si>
  <si>
    <t>same as 2025</t>
  </si>
  <si>
    <t>CF05: BD costs aggregated to BM-00110021_002_00000012</t>
  </si>
  <si>
    <t>Product development lead</t>
  </si>
  <si>
    <t>PS-CV/EES System Engineer EES (ex CVO/ENP)</t>
  </si>
  <si>
    <t>CV</t>
  </si>
  <si>
    <t>Hodzic, Alkis -&gt; Transfer Alkis  to PS-S  -&gt; C reduces costs</t>
  </si>
  <si>
    <t>BM-00110021_002_00000012</t>
  </si>
  <si>
    <t>BD Support (PjM and Controlling)</t>
  </si>
  <si>
    <t>Rainer, Stan</t>
  </si>
  <si>
    <t>XC-CP</t>
  </si>
  <si>
    <t>HW &amp; BSW</t>
  </si>
  <si>
    <t>BM-00110021_004</t>
  </si>
  <si>
    <t>C-Hub XC Series Care_004</t>
  </si>
  <si>
    <t>Various XC</t>
  </si>
  <si>
    <t>XC</t>
  </si>
  <si>
    <t>Multiple</t>
  </si>
  <si>
    <t>CF05: ~ 43k€ increase (from 1052 to 1095 k€), input Can Oezcan</t>
  </si>
  <si>
    <t>C-Hub XC Series Care_005</t>
  </si>
  <si>
    <t>CF05: ~13 k€ increase (from 598 to 611 k€), input Can Oezcan</t>
  </si>
  <si>
    <t>C-Hub XC New Features</t>
  </si>
  <si>
    <t>CF05: Increased due to XC Stretch target increase</t>
  </si>
  <si>
    <t>BM-00110021_002_00000013</t>
  </si>
  <si>
    <t>CVIT Partner Manager</t>
  </si>
  <si>
    <t>Bari</t>
  </si>
  <si>
    <t>BM-00110021_002_00000014</t>
  </si>
  <si>
    <t>ETAS-MSS Cojali</t>
  </si>
  <si>
    <t>Cojali Series Integration: PO 0087209779-Q1; PO 0087211879-Q2</t>
  </si>
  <si>
    <t>fa</t>
  </si>
  <si>
    <t>BM-00110021_002_00000015</t>
  </si>
  <si>
    <t>R&amp;D at Cojali</t>
  </si>
  <si>
    <t>Premium Multi-Brand Data</t>
  </si>
  <si>
    <t>BM-00110021_002_00000016</t>
  </si>
  <si>
    <t>PO for Cojali</t>
  </si>
  <si>
    <t>Scholz, Sebastian</t>
  </si>
  <si>
    <t>Target resp.</t>
  </si>
  <si>
    <t>27-Feb: Latest plqnning = 332 kEUR</t>
  </si>
  <si>
    <t>BM-00110021_002_00000017</t>
  </si>
  <si>
    <t>VCS R&amp;D</t>
  </si>
  <si>
    <t>27-Feb: Latest plqnning = 824 kEUR</t>
  </si>
  <si>
    <t>C-Hub XC - HW Change for RS-232, K-LINE</t>
  </si>
  <si>
    <t>Container App Development</t>
  </si>
  <si>
    <t>BM-00110021_002_00000018</t>
  </si>
  <si>
    <t>BD Support (Cojali &amp; CDK)</t>
  </si>
  <si>
    <t>Gibayev Oleg</t>
  </si>
  <si>
    <t>Alki</t>
  </si>
  <si>
    <t>CDK development</t>
  </si>
  <si>
    <t>Birnescu Florin (PS-SC/EDS1)</t>
  </si>
  <si>
    <t>Technical Docu Cluj</t>
  </si>
  <si>
    <t>Mindrean Denisa (PS-SC/EDS) --&gt; booking is done by Alin Pantea on her behalf</t>
  </si>
  <si>
    <t>BM-00110021_003_00000004</t>
  </si>
  <si>
    <t>Other cost / Lab, HW etc.</t>
  </si>
  <si>
    <t>Customer Cloud Integration / pre-development for VI integration</t>
  </si>
  <si>
    <t>Modoc, Daniel Stefan</t>
  </si>
  <si>
    <t>Alex/Ann -  tbc</t>
  </si>
  <si>
    <t>System Eng. &amp; Feature Owners</t>
  </si>
  <si>
    <t>E2E System Team - Requirements Eng. &amp; System development</t>
  </si>
  <si>
    <t>Praveen, K M</t>
  </si>
  <si>
    <t>Alexander</t>
  </si>
  <si>
    <t>E2E System Team - SysArch - Requirements Eng. &amp; System development</t>
  </si>
  <si>
    <t xml:space="preserve"> Hategan, Liviu Ioan; Oliver J.</t>
  </si>
  <si>
    <t>Alex/Alkis - tbc</t>
  </si>
  <si>
    <t>Blohm, Christina; Frank, Kornelius</t>
  </si>
  <si>
    <t>System Integration and Solution Architecture technical customer support</t>
  </si>
  <si>
    <t>Perless, Alexander</t>
  </si>
  <si>
    <t>Managing V&amp;V</t>
  </si>
  <si>
    <t>PS-SC/ETX V&amp;V CE Other Cust. Proj.</t>
  </si>
  <si>
    <t>Fagarasi, Lorand</t>
  </si>
  <si>
    <t>Alkis - tbc</t>
  </si>
  <si>
    <t>Performing V&amp;V</t>
  </si>
  <si>
    <t>Chirlejan, Alex Bogdan</t>
  </si>
  <si>
    <t>Installation App development</t>
  </si>
  <si>
    <t>Stretch target XC</t>
  </si>
  <si>
    <t>CF05: Stretch target increased to compensate for the XC increase</t>
  </si>
  <si>
    <t>BM-00112873_001</t>
  </si>
  <si>
    <t>Total</t>
  </si>
  <si>
    <t>No</t>
  </si>
  <si>
    <t>Risks</t>
  </si>
  <si>
    <t>Risk amount(k€)</t>
  </si>
  <si>
    <t>thereof included in Risk BP26 (BM-00107793_002)</t>
  </si>
  <si>
    <t>Cost coverage ensured elsewhere</t>
  </si>
  <si>
    <t>Remaining risk amount</t>
  </si>
  <si>
    <t>Responsible</t>
  </si>
  <si>
    <t>Customer</t>
  </si>
  <si>
    <t>Comment Stan</t>
  </si>
  <si>
    <t>Consider?</t>
  </si>
  <si>
    <t>Column2</t>
  </si>
  <si>
    <t>Hinweis LL</t>
  </si>
  <si>
    <t>Risks PPT (Mar-26)</t>
  </si>
  <si>
    <t>Risk BP26</t>
  </si>
  <si>
    <t>C-Hub Customers</t>
  </si>
  <si>
    <t>all</t>
  </si>
  <si>
    <t>NA (currently not booking)</t>
  </si>
  <si>
    <t>C-Hub Product</t>
  </si>
  <si>
    <t>Penske, Amazon, ViaScience</t>
  </si>
  <si>
    <t>9-Mar-26: NA bookings added manually to the Cost tracking</t>
  </si>
  <si>
    <t>Budget cut CF02</t>
  </si>
  <si>
    <t>Refunding ögP</t>
  </si>
  <si>
    <t>Planung aktuell Transfer &lt;26 Werte in Diskussion</t>
  </si>
  <si>
    <t>Risk to overshoot ECP budget beyond ögP funding</t>
  </si>
  <si>
    <t>ECP / PAC2</t>
  </si>
  <si>
    <t>see OneNote</t>
  </si>
  <si>
    <t>Risiko verstsehe ich nicht ist Kostenneutral ECP Anteil wird von ÖGP bezhalt</t>
  </si>
  <si>
    <t>Service Improvements (Fleet Session 02.2026)</t>
  </si>
  <si>
    <t>Penske</t>
  </si>
  <si>
    <t>Manual Monitoring Penske</t>
  </si>
  <si>
    <t>Unplanned additional effort ViaScience</t>
  </si>
  <si>
    <t>ViaScience</t>
  </si>
  <si>
    <t>Penske Volume increase (e.g. raw material)</t>
  </si>
  <si>
    <t>PDCL</t>
  </si>
  <si>
    <t>Not concidered</t>
  </si>
  <si>
    <t>SAE Licence</t>
  </si>
  <si>
    <t>unplanned effort Heex</t>
  </si>
  <si>
    <t>C-Hub Product / PS-SC/XPS</t>
  </si>
  <si>
    <t>Proprietary CAN Messages Volvo for Remodul</t>
  </si>
  <si>
    <t>Remodul</t>
  </si>
  <si>
    <t>müsste doch in Remodul rein</t>
  </si>
  <si>
    <t>Additional effort WoW</t>
  </si>
  <si>
    <t>LTB eMMC</t>
  </si>
  <si>
    <t>Penske additional effort secure cloud connection</t>
  </si>
  <si>
    <t>Logistic support C/TMS</t>
  </si>
  <si>
    <t>Operative logistics</t>
  </si>
  <si>
    <t>muss auf die Logistik Kostenstell</t>
  </si>
  <si>
    <t>additiona MAE invest for higher Penske volume</t>
  </si>
  <si>
    <t>ECP</t>
  </si>
  <si>
    <t>CARB CTC Certification</t>
  </si>
  <si>
    <t>Service Improvements (Fleet Session xx.02.2026)</t>
  </si>
  <si>
    <t>Antenna Homologation</t>
  </si>
  <si>
    <t>Mexico Certification</t>
  </si>
  <si>
    <t>new customers</t>
  </si>
  <si>
    <t>Propietary CAN Messages Volvo for Remodul</t>
  </si>
  <si>
    <t>PPC</t>
  </si>
  <si>
    <t>eigene Spalte --&gt; Maßnahme/Finanzierung sichergestellt</t>
  </si>
  <si>
    <t>Bottom-up</t>
  </si>
  <si>
    <t>first measure to reduce budget demand</t>
  </si>
  <si>
    <t>BP26 pre-steering incl. measures</t>
  </si>
  <si>
    <t>Top down budget cut for BP26 and introduction of risks maintaned in Cust-Proj-Ext MCR plan (xxx)</t>
  </si>
  <si>
    <t>BP26 top-down</t>
  </si>
  <si>
    <t>Top down budget cut for CF02/CF05</t>
  </si>
  <si>
    <t>BizCase PRM</t>
  </si>
  <si>
    <t>Mapping of the YTD gap (as of 4-Apr-26) to the financial risks</t>
  </si>
  <si>
    <t>Task Name</t>
  </si>
  <si>
    <t>CF05 C-Hub PF</t>
  </si>
  <si>
    <t>Estimated at completion (based on YTD actuals, 4-Apr'26)</t>
  </si>
  <si>
    <t>Gap (Prognosis vs. Plan)</t>
  </si>
  <si>
    <t>Mapping to existing risk?</t>
  </si>
  <si>
    <t>Initial planned risk amount</t>
  </si>
  <si>
    <t>Delta planned risk amount vs. YTD gap</t>
  </si>
  <si>
    <t>Risk reasoning</t>
  </si>
  <si>
    <t>Risk status</t>
  </si>
  <si>
    <t>Realized risk amount</t>
  </si>
  <si>
    <t>Actual needed risk amount</t>
  </si>
  <si>
    <t>No real cost saving measures for 400 K€ defined.</t>
  </si>
  <si>
    <t>Identified</t>
  </si>
  <si>
    <t>BP26 (BM-00107793_002) -&gt; C-Hub XC New Features</t>
  </si>
  <si>
    <r>
      <t>No real cost saving measures for 343 K</t>
    </r>
    <r>
      <rPr>
        <sz val="11"/>
        <color theme="1"/>
        <rFont val="Aptos Narrow"/>
        <family val="2"/>
      </rPr>
      <t>€</t>
    </r>
    <r>
      <rPr>
        <sz val="11"/>
        <color theme="1"/>
        <rFont val="Aptos Narrow"/>
        <family val="2"/>
        <scheme val="minor"/>
      </rPr>
      <t xml:space="preserve"> defined.</t>
    </r>
  </si>
  <si>
    <t>Realized</t>
  </si>
  <si>
    <t>BP26 (BM-00107793_002)-&gt;VCS R&amp;D</t>
  </si>
  <si>
    <r>
      <t>VCS total cost 1378 K</t>
    </r>
    <r>
      <rPr>
        <sz val="11"/>
        <color theme="1"/>
        <rFont val="Aptos Narrow"/>
        <family val="2"/>
      </rPr>
      <t>€</t>
    </r>
  </si>
  <si>
    <t>VCS total cost 1378 K€</t>
  </si>
  <si>
    <t>BP26 (BM-00107793_002)-&gt;ETAS-MSS Cojali</t>
  </si>
  <si>
    <t>Gap is not mapped to risk</t>
  </si>
  <si>
    <t>BP26 (BM-00107793_002)-&gt;Partner Manager</t>
  </si>
  <si>
    <t>BP26 (BM-00107793_002)-&gt;NA Team + other cost</t>
  </si>
  <si>
    <t>Currently no gap</t>
  </si>
  <si>
    <t>BP26 (BM-00107793_002)-&gt;Customer integrations</t>
  </si>
  <si>
    <t>BP26 (BM-00107793_002)-&gt;Operations L1/L2 Incident/Problem/Monitoring</t>
  </si>
  <si>
    <t>BP26 (BM-00107793_002)-&gt;Other cost / Lab, HW etc.</t>
  </si>
  <si>
    <t>BP26 (BM-00107793_002)-&gt;Service Operation EU - VI</t>
  </si>
  <si>
    <t>BP26 (BM-00107793_002)-&gt;Service Operation NA - VI</t>
  </si>
  <si>
    <t>BP26 (BM-00107793_002)-&gt;R&amp;D at Cojali</t>
  </si>
  <si>
    <t>BP26 (BM-00107793_002)-&gt;MA for vehicle configuration</t>
  </si>
  <si>
    <t>Financial risk - not planned in MCR</t>
  </si>
  <si>
    <t>Grand Total</t>
  </si>
  <si>
    <t>Mapping Financial risk &lt;-&gt; Task</t>
  </si>
  <si>
    <t>Sum of Gap (Prognosis vs. Plan)</t>
  </si>
  <si>
    <t>Sum of Exisitng risk amount</t>
  </si>
  <si>
    <t>Sum of Uncovered risk amount</t>
  </si>
  <si>
    <t>Sum of Realized risk amount</t>
  </si>
  <si>
    <t>Actuals</t>
  </si>
  <si>
    <t>Cumulative actuals</t>
  </si>
  <si>
    <t>Jan-26</t>
  </si>
  <si>
    <t>Feb-26</t>
  </si>
  <si>
    <t>Mar-26</t>
  </si>
  <si>
    <t>Apr-26</t>
  </si>
  <si>
    <t>May-26</t>
  </si>
  <si>
    <t>Jun-26</t>
  </si>
  <si>
    <t>Jul-26</t>
  </si>
  <si>
    <t>Aug-26</t>
  </si>
  <si>
    <t>Sep-26</t>
  </si>
  <si>
    <t>Oct-26</t>
  </si>
  <si>
    <t>Nov-26</t>
  </si>
  <si>
    <t>Dec-26</t>
  </si>
  <si>
    <t>C-Hub Actuals (BM-00110021_001)</t>
  </si>
  <si>
    <t>Actuals not yet transferred to MCR</t>
  </si>
  <si>
    <t>C-Hub All Actuals (incl. not yet transferred)</t>
  </si>
  <si>
    <t>Plan CF02 (BM-00110021_001)</t>
  </si>
  <si>
    <t>Prognosis 2026 (based on YTD actuals)</t>
  </si>
  <si>
    <r>
      <t xml:space="preserve">Gap (Actuals vs Plan), in </t>
    </r>
    <r>
      <rPr>
        <sz val="11"/>
        <color theme="1"/>
        <rFont val="Aptos Narrow"/>
        <family val="2"/>
      </rPr>
      <t>€</t>
    </r>
  </si>
  <si>
    <t>Gap (Prognosis vs Plan), in %</t>
  </si>
  <si>
    <t>Customer ext. project (BM-00107793_002)</t>
  </si>
  <si>
    <t>Financial risks</t>
  </si>
  <si>
    <t>(All)</t>
  </si>
  <si>
    <t>Task Name (all sub-projects)</t>
  </si>
  <si>
    <t>Sum of CF05 C-Hub PF</t>
  </si>
  <si>
    <t>Estimated at completion (Gap as number)</t>
  </si>
  <si>
    <t>XC only</t>
  </si>
  <si>
    <t>Prognosis (based on YTD actuals)</t>
  </si>
  <si>
    <t>Gap (Porgnosis vs. Plan)</t>
  </si>
  <si>
    <t>VCS only</t>
  </si>
  <si>
    <t>Cost tracking by "New Team bucket"</t>
  </si>
  <si>
    <t>Sum of EAC (based on YTD actuals)</t>
  </si>
  <si>
    <t>C-Hub PF</t>
  </si>
  <si>
    <t>CF02 C-Hub PF</t>
  </si>
  <si>
    <t>ECP Planning</t>
  </si>
  <si>
    <t>ECP / xyz1</t>
  </si>
  <si>
    <t>abc</t>
  </si>
  <si>
    <t>ECP / xyz2</t>
  </si>
  <si>
    <t>ECP / xyz3</t>
  </si>
  <si>
    <t>Orga</t>
  </si>
  <si>
    <t>Hrs</t>
  </si>
  <si>
    <t>Amount</t>
  </si>
  <si>
    <t>tbd</t>
  </si>
  <si>
    <t>Patrick, has not booked yet.</t>
  </si>
  <si>
    <t>Sorina + tbd</t>
  </si>
  <si>
    <t>Shashikumar, Nagaraju; Khandelwal, Priti</t>
  </si>
  <si>
    <t>Marianne, Nina</t>
  </si>
  <si>
    <t>Guias, Cornel Liviu; Hategan, Liviu Ioan;</t>
  </si>
  <si>
    <t>C-Hub Cust Ext - BM-00107793_002</t>
  </si>
  <si>
    <t>Sorina + Bianca + Maria (200%)</t>
  </si>
  <si>
    <t>New MCR logic</t>
  </si>
  <si>
    <t>new Team</t>
  </si>
  <si>
    <t>delta to 2025</t>
  </si>
  <si>
    <t>consequence if canceled</t>
  </si>
  <si>
    <t>Prognosis BP26</t>
  </si>
  <si>
    <t>C-Hub CF09/2025  (before redistribution to Cust. Proj)</t>
  </si>
  <si>
    <t>Comments to Prognosis BP26</t>
  </si>
  <si>
    <t>Rest ögP, equivalent to _007</t>
  </si>
  <si>
    <t>-</t>
  </si>
  <si>
    <t>XC ögP, equivalent to_005</t>
  </si>
  <si>
    <t>Rest non-ögP, equivalent to _006</t>
  </si>
  <si>
    <t>Customer specific</t>
  </si>
  <si>
    <t>new</t>
  </si>
  <si>
    <t>DaaS Delivery</t>
  </si>
  <si>
    <t>constant</t>
  </si>
  <si>
    <t>special know how for RD. No other person available.
Lead: no standard diagnostics data or RD use cases like for TOP107, Austria, ECP</t>
  </si>
  <si>
    <t>no transfer to PS possible</t>
  </si>
  <si>
    <t>no RM configs (CAN Data) for any use-case / required for DaaS</t>
  </si>
  <si>
    <t>LCV data not available; no support of EVs; support busses difficult</t>
  </si>
  <si>
    <t>Logistics</t>
  </si>
  <si>
    <t>no delivery to new customers possible; no handling of shortage etc.</t>
  </si>
  <si>
    <t>NA Localization</t>
  </si>
  <si>
    <t>increasing</t>
  </si>
  <si>
    <t>no NA customer acquisition support and no NA C-Hub.</t>
  </si>
  <si>
    <t>Operation of Service</t>
  </si>
  <si>
    <t xml:space="preserve">stop C-Hub </t>
  </si>
  <si>
    <t>no customer support ww; E2E integration, testing, and release; no Remodul tech support</t>
  </si>
  <si>
    <t>required for serivce delivery, OPS and support</t>
  </si>
  <si>
    <t>required for serivce delivery, OPS and support / 100% FTE wanted, to be discussed</t>
  </si>
  <si>
    <t>Partner</t>
  </si>
  <si>
    <t>required to build and maintane C-Hub partnerships (Antenna, Wire harness, CAN reader, …)</t>
  </si>
  <si>
    <t>topics: Kabelbäume, Antennen, ind CAN reader, Sensors TPMS,…</t>
  </si>
  <si>
    <t>PjM, Release</t>
  </si>
  <si>
    <t>no C-Hub releases at PS</t>
  </si>
  <si>
    <t>no C-Hub updates for new features like Wlan/BLE</t>
  </si>
  <si>
    <t>required to maintane comlex controlling structure</t>
  </si>
  <si>
    <t>no customer documentation, unhappy customers, blocking releases</t>
  </si>
  <si>
    <t>Based on BP26 in PLW 71_1947 C-Hub Core Functions</t>
  </si>
  <si>
    <t>required</t>
  </si>
  <si>
    <t>Input Alkis (16-Sep-25): For 2026 it would be ~200.600 €</t>
  </si>
  <si>
    <t>XC, split 50/50 ögp/non-ögp, equivalent to _004</t>
  </si>
  <si>
    <t>R&amp;D BSW</t>
  </si>
  <si>
    <t>reduced</t>
  </si>
  <si>
    <t>no C-Hub support for bugfixing and maintanance; no new features possible</t>
  </si>
  <si>
    <t>BP26 -&gt; mail from Oezcan Can, 22-Jul: [C-Hub_XC] CF09/25 &amp; BP26 : Update MCR projects</t>
  </si>
  <si>
    <t>XC, split 50/50 ögp/non-ögp, equivalent to _005</t>
  </si>
  <si>
    <t>no new features possible</t>
  </si>
  <si>
    <t>R&amp;D Cojali</t>
  </si>
  <si>
    <t>Cojali integration and alignment critical: delays in the delivery of contract, cojali container framework for different vehicles. Mandatory need a person which would build up the relationsship.</t>
  </si>
  <si>
    <t>RP1210 development and stabilisation stopped. no further support for this library. Premium data failed.</t>
  </si>
  <si>
    <t>required for premium data</t>
  </si>
  <si>
    <t>mandatory for Cojali --&gt; possible transfer to PS?</t>
  </si>
  <si>
    <t>R&amp;D for Service</t>
  </si>
  <si>
    <t>no Cojali, no premium data, risk for customer acquisitions, no new features</t>
  </si>
  <si>
    <t>R&amp;D HW</t>
  </si>
  <si>
    <t>no cold chain support and Tacho access ofer D8 port (easier way to get the data)</t>
  </si>
  <si>
    <t>R&amp;D Service</t>
  </si>
  <si>
    <t>no container application support for any customer. No Cojali vehicle container creation. No premium data.</t>
  </si>
  <si>
    <t>required for main customers like Penske, …</t>
  </si>
  <si>
    <t>R&amp;D System</t>
  </si>
  <si>
    <t>no integration with external cloud solutions for PoC's, pilots and series like geoTab,…</t>
  </si>
  <si>
    <t>no integration with external cloud solutions for PoC's, pilots and series like geoTab,…
no concept and requirements specification for XC and ETAS</t>
  </si>
  <si>
    <t>increased</t>
  </si>
  <si>
    <t>Christina: Dako Support, allerlei Support HW, Fahrzeug Aufbauten, Fahrzeugtests für den C-Hub release
Kornelius: Fahrzeugtests für den C-Hub release</t>
  </si>
  <si>
    <t>no customer support, no specification of new concepts and requirements, further development of the vehicle database, integration with VI</t>
  </si>
  <si>
    <t>Assumptions</t>
  </si>
  <si>
    <t>Cold chain support mandatory to scale in 2026ff --&gt;RS-232 required</t>
  </si>
  <si>
    <t>CDK required to support container use-case</t>
  </si>
  <si>
    <t>Limited feature development in BSW at XC-CP</t>
  </si>
  <si>
    <t>Releases: v1.4 (02/2026) ASW-only; v1.5 (05/2026) incl. Plant release; v1.6 (10/2026)</t>
  </si>
  <si>
    <t>green</t>
  </si>
  <si>
    <t>BM-number</t>
  </si>
  <si>
    <t>Task</t>
  </si>
  <si>
    <t>004</t>
  </si>
  <si>
    <t>various (see Can's planning)</t>
  </si>
  <si>
    <t>xxx</t>
  </si>
  <si>
    <t>XC-CP Customer Extention (other cost)</t>
  </si>
  <si>
    <t>Stretch target (other cost)</t>
  </si>
  <si>
    <t>005</t>
  </si>
  <si>
    <t>FTE (%) 2026</t>
  </si>
  <si>
    <t>Hrs 2026</t>
  </si>
  <si>
    <t>MCR (Plan input)</t>
  </si>
  <si>
    <t>Gap Pers. Vs. BP26</t>
  </si>
  <si>
    <t>Transfer to PS (Vienna?)</t>
  </si>
  <si>
    <t>PS-EC EBR-NA SW Eng</t>
  </si>
  <si>
    <t>pauschal top-down geschätzt</t>
  </si>
  <si>
    <t>Beck, Jochen --&gt; transfer to Cluj</t>
  </si>
  <si>
    <t>MS/ECY-IN_iGPM Developer</t>
  </si>
  <si>
    <t>C-Hub Cust Ext - Rainer to define MCR</t>
  </si>
  <si>
    <t>M Euro</t>
  </si>
  <si>
    <t>% Of PDCL</t>
  </si>
  <si>
    <t>P00540</t>
  </si>
  <si>
    <t>P00280</t>
  </si>
  <si>
    <t>Prognosis BP27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</si>
</sst>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quot;€&quot;_-;\-* #,##0.00\ &quot;€&quot;_-;_-* &quot;-&quot;??\ &quot;€&quot;_-;_-@_-"/>
    <numFmt numFmtId="165" formatCode="_-* #,##0.0\ [$€-1]_-;\-* #,##0.0\ [$€-1]_-;_-* &quot;-&quot;??\ [$€-1]_-;_-@_-"/>
    <numFmt numFmtId="166" formatCode="0.0"/>
    <numFmt numFmtId="167" formatCode="_-* #,##0\ [$€-1]_-;\-* #,##0\ [$€-1]_-;_-* &quot;-&quot;??\ [$€-1]_-;_-@_-"/>
    <numFmt numFmtId="168" formatCode="_-* #,##0\ &quot;€&quot;_-;\-* #,##0\ &quot;€&quot;_-;_-* &quot;-&quot;??\ &quot;€&quot;_-;_-@_-"/>
    <numFmt numFmtId="169" formatCode="_-* #,##0.00\ [$€-1]_-;\-* #,##0.00\ [$€-1]_-;_-* &quot;-&quot;??\ [$€-1]_-;_-@_-"/>
  </numFmts>
  <fonts count="11">
    <font>
      <sz val="11"/>
      <color theme="1"/>
      <name val="Aptos Narrow"/>
      <family val="2"/>
      <scheme val="minor"/>
    </font>
    <font>
      <sz val="10"/>
      <color theme="1"/>
      <name val="Arial"/>
      <family val="2"/>
    </font>
    <font>
      <sz val="11"/>
      <color theme="1"/>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
      <sz val="11"/>
      <name val="Aptos Narrow"/>
      <family val="2"/>
    </font>
    <font>
      <sz val="11"/>
      <color theme="1"/>
      <name val="Aptos Narrow"/>
      <family val="2"/>
    </font>
    <font>
      <sz val="8"/>
      <name val="Aptos Narrow"/>
      <family val="2"/>
      <scheme val="minor"/>
    </font>
    <font>
      <sz val="11"/>
      <color rgb="FFFF0000"/>
      <name val="Aptos Narrow"/>
      <family val="2"/>
      <scheme val="minor"/>
    </font>
    <font>
      <sz val="11"/>
      <color rgb="FF000000"/>
      <name val="Bosch Sans Light"/>
    </font>
  </fonts>
  <fills count="20">
    <fill>
      <patternFill patternType="none"/>
    </fill>
    <fill>
      <patternFill patternType="gray125"/>
    </fill>
    <fill>
      <patternFill patternType="solid">
        <fgColor theme="9" tint="0.79998168889431442"/>
        <bgColor indexed="64"/>
      </patternFill>
    </fill>
    <fill>
      <patternFill patternType="solid">
        <fgColor rgb="FF00B050"/>
        <bgColor indexed="64"/>
      </patternFill>
    </fill>
    <fill>
      <patternFill patternType="solid">
        <fgColor theme="9"/>
        <bgColor indexed="64"/>
      </patternFill>
    </fill>
    <fill>
      <patternFill patternType="solid">
        <fgColor theme="4" tint="-0.249977111117893"/>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2" tint="-0.499984740745262"/>
        <bgColor indexed="64"/>
      </patternFill>
    </fill>
    <fill>
      <patternFill patternType="solid">
        <fgColor rgb="FFFF0000"/>
        <bgColor indexed="64"/>
      </patternFill>
    </fill>
    <fill>
      <patternFill patternType="solid">
        <fgColor theme="6" tint="0.79998168889431442"/>
        <bgColor indexed="64"/>
      </patternFill>
    </fill>
    <fill>
      <patternFill patternType="solid">
        <fgColor theme="8"/>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rgb="FF0070C0"/>
        <bgColor indexed="64"/>
      </patternFill>
    </fill>
    <fill>
      <patternFill patternType="solid">
        <fgColor theme="5"/>
        <bgColor indexed="64"/>
      </patternFill>
    </fill>
    <fill>
      <patternFill patternType="solid">
        <fgColor theme="5" tint="-0.499984740745262"/>
        <bgColor indexed="64"/>
      </patternFill>
    </fill>
    <fill>
      <patternFill patternType="solid">
        <fgColor theme="4" tint="0.79998168889431442"/>
        <bgColor theme="4" tint="0.79998168889431442"/>
      </patternFill>
    </fill>
  </fills>
  <borders count="15">
    <border>
      <left/>
      <right/>
      <top/>
      <bottom/>
      <diagonal/>
    </border>
    <border>
      <left/>
      <right/>
      <top style="thin">
        <color indexed="64"/>
      </top>
      <bottom/>
      <diagonal/>
    </border>
    <border>
      <left/>
      <right/>
      <top/>
      <bottom style="thin">
        <color indexed="64"/>
      </bottom>
      <diagonal/>
    </border>
    <border>
      <left/>
      <right/>
      <top/>
      <bottom style="medium">
        <color rgb="FFFF0000"/>
      </bottom>
      <diagonal/>
    </border>
    <border>
      <left/>
      <right/>
      <top style="medium">
        <color rgb="FFFF0000"/>
      </top>
      <bottom/>
      <diagonal/>
    </border>
    <border>
      <left/>
      <right/>
      <top style="thin">
        <color theme="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medium">
        <color rgb="FFFF0000"/>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bottom style="thin">
        <color theme="4" tint="0.39997558519241921"/>
      </bottom>
      <diagonal/>
    </border>
  </borders>
  <cellStyleXfs count="6">
    <xf numFmtId="0" fontId="0" fillId="0" borderId="0"/>
    <xf numFmtId="164" fontId="2" fillId="0" borderId="0" applyFont="0" applyFill="0" applyBorder="0" applyAlignment="0" applyProtection="0"/>
    <xf numFmtId="9" fontId="2" fillId="0" borderId="0" applyFont="0" applyFill="0" applyBorder="0" applyAlignment="0" applyProtection="0"/>
    <xf numFmtId="0" fontId="6" fillId="0" borderId="0"/>
    <xf numFmtId="0" fontId="1" fillId="0" borderId="0"/>
    <xf numFmtId="164" fontId="1" fillId="0" borderId="0" applyFont="0" applyFill="0" applyBorder="0" applyAlignment="0" applyProtection="0"/>
  </cellStyleXfs>
  <cellXfs count="100">
    <xf numFmtId="0" fontId="0" fillId="0" borderId="0" xfId="0"/>
    <xf numFmtId="167" fontId="0" fillId="0" borderId="0" xfId="0" applyNumberFormat="1"/>
    <xf numFmtId="0" fontId="3" fillId="0" borderId="0" xfId="0" applyFont="1"/>
    <xf numFmtId="0" fontId="0" fillId="4" borderId="0" xfId="0" applyFill="1"/>
    <xf numFmtId="0" fontId="0" fillId="5" borderId="0" xfId="0" applyFill="1"/>
    <xf numFmtId="0" fontId="0" fillId="0" borderId="0" xfId="0" applyAlignment="1">
      <alignment wrapText="1"/>
    </xf>
    <xf numFmtId="0" fontId="0" fillId="6" borderId="0" xfId="0" applyFill="1"/>
    <xf numFmtId="167" fontId="0" fillId="7" borderId="0" xfId="0" applyNumberFormat="1" applyFill="1"/>
    <xf numFmtId="167" fontId="0" fillId="6" borderId="0" xfId="0" applyNumberFormat="1" applyFill="1"/>
    <xf numFmtId="0" fontId="0" fillId="0" borderId="0" xfId="0" pivotButton="1"/>
    <xf numFmtId="0" fontId="0" fillId="0" borderId="0" xfId="0" applyAlignment="1">
      <alignment horizontal="left"/>
    </xf>
    <xf numFmtId="167" fontId="0" fillId="10" borderId="0" xfId="0" applyNumberFormat="1" applyFill="1"/>
    <xf numFmtId="9" fontId="0" fillId="0" borderId="0" xfId="2" applyFont="1"/>
    <xf numFmtId="9" fontId="0" fillId="6" borderId="0" xfId="2" applyFont="1" applyFill="1"/>
    <xf numFmtId="9" fontId="0" fillId="7" borderId="0" xfId="2" applyFont="1" applyFill="1"/>
    <xf numFmtId="167" fontId="0" fillId="0" borderId="0" xfId="2" applyNumberFormat="1" applyFont="1"/>
    <xf numFmtId="9" fontId="0" fillId="0" borderId="0" xfId="0" applyNumberFormat="1"/>
    <xf numFmtId="167" fontId="0" fillId="11" borderId="0" xfId="0" applyNumberFormat="1" applyFill="1"/>
    <xf numFmtId="0" fontId="0" fillId="12" borderId="0" xfId="0" applyFill="1"/>
    <xf numFmtId="0" fontId="0" fillId="6" borderId="0" xfId="0" applyFill="1" applyAlignment="1">
      <alignment horizontal="left"/>
    </xf>
    <xf numFmtId="167" fontId="0" fillId="6" borderId="0" xfId="2" applyNumberFormat="1" applyFont="1" applyFill="1"/>
    <xf numFmtId="0" fontId="0" fillId="6" borderId="0" xfId="0" applyFill="1" applyAlignment="1">
      <alignment wrapText="1"/>
    </xf>
    <xf numFmtId="165" fontId="0" fillId="6" borderId="0" xfId="0" applyNumberFormat="1" applyFill="1"/>
    <xf numFmtId="9" fontId="0" fillId="6" borderId="0" xfId="0" applyNumberFormat="1" applyFill="1"/>
    <xf numFmtId="0" fontId="0" fillId="13" borderId="0" xfId="0" applyFill="1"/>
    <xf numFmtId="168" fontId="0" fillId="0" borderId="0" xfId="0" applyNumberFormat="1"/>
    <xf numFmtId="168" fontId="3" fillId="0" borderId="0" xfId="0" applyNumberFormat="1" applyFont="1"/>
    <xf numFmtId="168" fontId="0" fillId="0" borderId="0" xfId="1" applyNumberFormat="1" applyFont="1"/>
    <xf numFmtId="0" fontId="0" fillId="11" borderId="0" xfId="0" applyFill="1"/>
    <xf numFmtId="0" fontId="0" fillId="4" borderId="4" xfId="0" applyFill="1" applyBorder="1"/>
    <xf numFmtId="0" fontId="0" fillId="0" borderId="0" xfId="0" applyAlignment="1">
      <alignment horizontal="center" vertical="center"/>
    </xf>
    <xf numFmtId="167" fontId="9" fillId="0" borderId="0" xfId="0" applyNumberFormat="1" applyFont="1"/>
    <xf numFmtId="167" fontId="9" fillId="6" borderId="0" xfId="0" applyNumberFormat="1" applyFont="1" applyFill="1"/>
    <xf numFmtId="169" fontId="0" fillId="6" borderId="0" xfId="0" applyNumberFormat="1" applyFill="1"/>
    <xf numFmtId="167" fontId="0" fillId="0" borderId="3" xfId="0" applyNumberFormat="1" applyBorder="1"/>
    <xf numFmtId="0" fontId="0" fillId="15" borderId="0" xfId="0" applyFill="1"/>
    <xf numFmtId="0" fontId="1" fillId="0" borderId="0" xfId="4"/>
    <xf numFmtId="168" fontId="1" fillId="0" borderId="0" xfId="4" applyNumberFormat="1"/>
    <xf numFmtId="168" fontId="0" fillId="0" borderId="0" xfId="5" applyNumberFormat="1" applyFont="1"/>
    <xf numFmtId="167" fontId="1" fillId="0" borderId="0" xfId="4" quotePrefix="1" applyNumberFormat="1"/>
    <xf numFmtId="0" fontId="1" fillId="0" borderId="0" xfId="4" quotePrefix="1"/>
    <xf numFmtId="167" fontId="1" fillId="0" borderId="0" xfId="4" applyNumberFormat="1"/>
    <xf numFmtId="167" fontId="0" fillId="0" borderId="5" xfId="0" applyNumberFormat="1" applyBorder="1"/>
    <xf numFmtId="9" fontId="0" fillId="0" borderId="0" xfId="2" applyFont="1" applyFill="1"/>
    <xf numFmtId="167" fontId="0" fillId="0" borderId="0" xfId="2" applyNumberFormat="1" applyFont="1" applyFill="1"/>
    <xf numFmtId="1" fontId="0" fillId="0" borderId="0" xfId="2" applyNumberFormat="1" applyFont="1" applyFill="1"/>
    <xf numFmtId="0" fontId="0" fillId="2" borderId="0" xfId="0" applyFill="1"/>
    <xf numFmtId="1" fontId="9" fillId="6" borderId="0" xfId="2" applyNumberFormat="1" applyFont="1" applyFill="1"/>
    <xf numFmtId="1" fontId="0" fillId="6" borderId="0" xfId="2" applyNumberFormat="1" applyFont="1" applyFill="1"/>
    <xf numFmtId="167" fontId="0" fillId="15" borderId="0" xfId="0" applyNumberFormat="1" applyFill="1"/>
    <xf numFmtId="166" fontId="0" fillId="15" borderId="0" xfId="2" applyNumberFormat="1" applyFont="1" applyFill="1"/>
    <xf numFmtId="1" fontId="4" fillId="0" borderId="0" xfId="2" applyNumberFormat="1" applyFont="1" applyFill="1"/>
    <xf numFmtId="167" fontId="4" fillId="0" borderId="0" xfId="0" applyNumberFormat="1" applyFont="1"/>
    <xf numFmtId="9" fontId="4" fillId="0" borderId="0" xfId="2" applyFont="1" applyFill="1"/>
    <xf numFmtId="2" fontId="0" fillId="0" borderId="0" xfId="0" applyNumberFormat="1" applyAlignment="1">
      <alignment horizontal="center" vertical="center"/>
    </xf>
    <xf numFmtId="9" fontId="0" fillId="0" borderId="0" xfId="2" applyFont="1" applyAlignment="1">
      <alignment horizontal="center" vertical="center"/>
    </xf>
    <xf numFmtId="0" fontId="9" fillId="0" borderId="0" xfId="0" applyFont="1"/>
    <xf numFmtId="0" fontId="0" fillId="3" borderId="0" xfId="0" applyFill="1"/>
    <xf numFmtId="9" fontId="9" fillId="0" borderId="0" xfId="0" applyNumberFormat="1" applyFont="1"/>
    <xf numFmtId="0" fontId="0" fillId="17" borderId="0" xfId="0" applyFill="1"/>
    <xf numFmtId="0" fontId="0" fillId="18" borderId="0" xfId="0" applyFill="1"/>
    <xf numFmtId="0" fontId="0" fillId="0" borderId="5" xfId="0" applyBorder="1"/>
    <xf numFmtId="167" fontId="0" fillId="0" borderId="0" xfId="0" applyNumberFormat="1" applyAlignment="1">
      <alignment wrapText="1"/>
    </xf>
    <xf numFmtId="0" fontId="4" fillId="17" borderId="0" xfId="0" applyFont="1" applyFill="1"/>
    <xf numFmtId="0" fontId="4" fillId="17" borderId="0" xfId="0" applyFont="1" applyFill="1" applyAlignment="1">
      <alignment horizontal="left"/>
    </xf>
    <xf numFmtId="167" fontId="4" fillId="17" borderId="0" xfId="2" applyNumberFormat="1" applyFont="1" applyFill="1"/>
    <xf numFmtId="9" fontId="4" fillId="17" borderId="0" xfId="2" applyFont="1" applyFill="1"/>
    <xf numFmtId="167" fontId="4" fillId="17" borderId="0" xfId="0" applyNumberFormat="1" applyFont="1" applyFill="1"/>
    <xf numFmtId="167" fontId="4" fillId="17" borderId="0" xfId="0" applyNumberFormat="1" applyFont="1" applyFill="1" applyAlignment="1">
      <alignment wrapText="1"/>
    </xf>
    <xf numFmtId="0" fontId="1" fillId="0" borderId="0" xfId="0" applyFont="1"/>
    <xf numFmtId="167" fontId="0" fillId="0" borderId="0" xfId="0" quotePrefix="1" applyNumberFormat="1"/>
    <xf numFmtId="1" fontId="0" fillId="0" borderId="0" xfId="0" applyNumberFormat="1"/>
    <xf numFmtId="0" fontId="0" fillId="0" borderId="0" xfId="0" applyAlignment="1">
      <alignment horizontal="left" indent="1"/>
    </xf>
    <xf numFmtId="0" fontId="0" fillId="9" borderId="0" xfId="0" applyFill="1"/>
    <xf numFmtId="0" fontId="0" fillId="4" borderId="6" xfId="0" applyFill="1" applyBorder="1"/>
    <xf numFmtId="167" fontId="0" fillId="0" borderId="8" xfId="0" applyNumberFormat="1" applyBorder="1"/>
    <xf numFmtId="167" fontId="0" fillId="0" borderId="9" xfId="0" applyNumberFormat="1" applyBorder="1"/>
    <xf numFmtId="167" fontId="4" fillId="17" borderId="8" xfId="0" applyNumberFormat="1" applyFont="1" applyFill="1" applyBorder="1"/>
    <xf numFmtId="167" fontId="4" fillId="17" borderId="9" xfId="0" applyNumberFormat="1" applyFont="1" applyFill="1" applyBorder="1"/>
    <xf numFmtId="168" fontId="0" fillId="0" borderId="8" xfId="5" applyNumberFormat="1" applyFont="1" applyBorder="1"/>
    <xf numFmtId="167" fontId="0" fillId="0" borderId="10" xfId="0" applyNumberFormat="1" applyBorder="1"/>
    <xf numFmtId="167" fontId="0" fillId="0" borderId="11" xfId="0" applyNumberFormat="1" applyBorder="1"/>
    <xf numFmtId="167" fontId="0" fillId="0" borderId="12" xfId="0" applyNumberFormat="1" applyBorder="1"/>
    <xf numFmtId="0" fontId="0" fillId="8" borderId="1" xfId="0" applyFill="1" applyBorder="1"/>
    <xf numFmtId="167" fontId="0" fillId="0" borderId="2" xfId="0" applyNumberFormat="1" applyBorder="1"/>
    <xf numFmtId="0" fontId="0" fillId="3" borderId="6" xfId="0" applyFill="1" applyBorder="1"/>
    <xf numFmtId="167" fontId="0" fillId="6" borderId="8" xfId="0" applyNumberFormat="1" applyFill="1" applyBorder="1"/>
    <xf numFmtId="167" fontId="0" fillId="7" borderId="8" xfId="0" applyNumberFormat="1" applyFill="1" applyBorder="1"/>
    <xf numFmtId="0" fontId="0" fillId="16" borderId="1" xfId="0" applyFill="1" applyBorder="1" applyAlignment="1">
      <alignment wrapText="1"/>
    </xf>
    <xf numFmtId="0" fontId="0" fillId="14" borderId="6" xfId="0" applyFill="1" applyBorder="1"/>
    <xf numFmtId="0" fontId="0" fillId="5" borderId="7" xfId="0" applyFill="1" applyBorder="1" applyAlignment="1">
      <alignment wrapText="1"/>
    </xf>
    <xf numFmtId="167" fontId="5" fillId="0" borderId="0" xfId="0" applyNumberFormat="1" applyFont="1"/>
    <xf numFmtId="167" fontId="5" fillId="6" borderId="9" xfId="0" applyNumberFormat="1" applyFont="1" applyFill="1" applyBorder="1"/>
    <xf numFmtId="167" fontId="10" fillId="6" borderId="8" xfId="0" applyNumberFormat="1" applyFont="1" applyFill="1" applyBorder="1"/>
    <xf numFmtId="4" fontId="0" fillId="0" borderId="0" xfId="0" applyNumberFormat="1"/>
    <xf numFmtId="0" fontId="3" fillId="19" borderId="14" xfId="0" applyFont="1" applyFill="1" applyBorder="1"/>
    <xf numFmtId="0" fontId="3" fillId="19" borderId="13" xfId="0" applyFont="1" applyFill="1" applyBorder="1" applyAlignment="1">
      <alignment horizontal="left"/>
    </xf>
    <xf numFmtId="167" fontId="3" fillId="19" borderId="13" xfId="0" applyNumberFormat="1" applyFont="1" applyFill="1" applyBorder="1"/>
    <xf numFmtId="0" fontId="3" fillId="19" borderId="0" xfId="0" applyFont="1" applyFill="1"/>
    <xf numFmtId="0" fontId="0" fillId="0" borderId="9" xfId="0" applyBorder="1"/>
  </cellXfs>
  <cellStyles count="6">
    <cellStyle name="Currency" xfId="1" builtinId="4"/>
    <cellStyle name="Normal" xfId="0" builtinId="0"/>
    <cellStyle name="Normal 2 2" xfId="3" xr:uid="{F18E53AA-FD2F-4357-A049-860866758D6E}"/>
    <cellStyle name="Percent" xfId="2" builtinId="5"/>
    <cellStyle name="Standard 2" xfId="4" xr:uid="{533CC90E-695A-4CC5-A149-2F456E3CBD32}"/>
    <cellStyle name="Währung 2" xfId="5" xr:uid="{FA729CDC-EBD7-4C8A-BA8F-97F095D15F40}"/>
  </cellStyles>
  <dxfs count="132">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alignment horizontal="left" vertical="bottom" textRotation="0" wrapText="0" indent="0" justifyLastLine="0" shrinkToFit="0" readingOrder="0"/>
    </dxf>
    <dxf>
      <alignment horizontal="left" vertical="bottom" textRotation="0" wrapText="0" indent="0" justifyLastLine="0" shrinkToFit="0" readingOrder="0"/>
    </dxf>
    <dxf>
      <numFmt numFmtId="167" formatCode="_-* #,##0\ [$€-1]_-;\-* #,##0\ [$€-1]_-;_-* &quot;-&quot;??\ [$€-1]_-;_-@_-"/>
    </dxf>
    <dxf>
      <numFmt numFmtId="167" formatCode="_-* #,##0\ [$€-1]_-;\-* #,##0\ [$€-1]_-;_-* &quot;-&quot;??\ [$€-1]_-;_-@_-"/>
      <fill>
        <patternFill patternType="none">
          <fgColor indexed="64"/>
          <bgColor auto="1"/>
        </patternFill>
      </fill>
    </dxf>
    <dxf>
      <numFmt numFmtId="167" formatCode="_-* #,##0\ [$€-1]_-;\-* #,##0\ [$€-1]_-;_-* &quot;-&quot;??\ [$€-1]_-;_-@_-"/>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dxf>
    <dxf>
      <fill>
        <patternFill patternType="none">
          <fgColor indexed="64"/>
          <bgColor auto="1"/>
        </patternFill>
      </fill>
    </dxf>
    <dxf>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alignment horizontal="left" vertical="bottom" textRotation="0" wrapText="0" indent="0" justifyLastLine="0" shrinkToFit="0" readingOrder="0"/>
    </dxf>
    <dxf>
      <alignment horizontal="left" vertical="bottom" textRotation="0" wrapText="0" indent="0" justifyLastLine="0" shrinkToFit="0" readingOrder="0"/>
    </dxf>
    <dxf>
      <numFmt numFmtId="167" formatCode="_-* #,##0\ [$€-1]_-;\-* #,##0\ [$€-1]_-;_-* &quot;-&quot;??\ [$€-1]_-;_-@_-"/>
    </dxf>
    <dxf>
      <numFmt numFmtId="167" formatCode="_-* #,##0\ [$€-1]_-;\-* #,##0\ [$€-1]_-;_-* &quot;-&quot;??\ [$€-1]_-;_-@_-"/>
      <fill>
        <patternFill patternType="none">
          <fgColor indexed="64"/>
          <bgColor auto="1"/>
        </patternFill>
      </fill>
    </dxf>
    <dxf>
      <numFmt numFmtId="167" formatCode="_-* #,##0\ [$€-1]_-;\-* #,##0\ [$€-1]_-;_-* &quot;-&quot;??\ [$€-1]_-;_-@_-"/>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dxf>
    <dxf>
      <fill>
        <patternFill patternType="none">
          <fgColor indexed="64"/>
          <bgColor auto="1"/>
        </patternFill>
      </fill>
    </dxf>
    <dxf>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ill>
        <patternFill patternType="none">
          <fgColor indexed="64"/>
          <bgColor indexed="65"/>
        </patternFill>
      </fill>
    </dxf>
    <dxf>
      <fill>
        <patternFill patternType="none">
          <fgColor indexed="64"/>
          <bgColor indexed="65"/>
        </patternFill>
      </fill>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dxf>
    <dxf>
      <numFmt numFmtId="167" formatCode="_-* #,##0\ [$€-1]_-;\-* #,##0\ [$€-1]_-;_-* &quot;-&quot;??\ [$€-1]_-;_-@_-"/>
      <border diagonalUp="0" diagonalDown="0" outline="0">
        <left/>
        <right style="thin">
          <color indexed="64"/>
        </right>
        <top/>
        <bottom style="thin">
          <color indexed="64"/>
        </bottom>
      </border>
    </dxf>
    <dxf>
      <numFmt numFmtId="167" formatCode="_-* #,##0\ [$€-1]_-;\-* #,##0\ [$€-1]_-;_-* &quot;-&quot;??\ [$€-1]_-;_-@_-"/>
      <border diagonalUp="0" diagonalDown="0" outline="0">
        <left/>
        <right style="thin">
          <color indexed="64"/>
        </right>
        <top/>
        <bottom/>
      </border>
    </dxf>
    <dxf>
      <numFmt numFmtId="167" formatCode="_-* #,##0\ [$€-1]_-;\-* #,##0\ [$€-1]_-;_-* &quot;-&quot;??\ [$€-1]_-;_-@_-"/>
      <border diagonalUp="0" diagonalDown="0" outline="0">
        <left style="thin">
          <color indexed="64"/>
        </left>
        <right/>
        <top/>
        <bottom style="thin">
          <color indexed="64"/>
        </bottom>
      </border>
    </dxf>
    <dxf>
      <numFmt numFmtId="167" formatCode="_-* #,##0\ [$€-1]_-;\-* #,##0\ [$€-1]_-;_-* &quot;-&quot;??\ [$€-1]_-;_-@_-"/>
      <border diagonalUp="0" diagonalDown="0" outline="0">
        <left style="thin">
          <color indexed="64"/>
        </left>
        <right/>
        <top/>
        <bottom/>
      </border>
    </dxf>
    <dxf>
      <numFmt numFmtId="167" formatCode="_-* #,##0\ [$€-1]_-;\-* #,##0\ [$€-1]_-;_-* &quot;-&quot;??\ [$€-1]_-;_-@_-"/>
      <border diagonalUp="0" diagonalDown="0" outline="0">
        <left/>
        <right/>
        <top/>
        <bottom style="thin">
          <color indexed="64"/>
        </bottom>
      </border>
    </dxf>
    <dxf>
      <border diagonalUp="0" diagonalDown="0">
        <left/>
        <right style="thin">
          <color indexed="64"/>
        </right>
        <top/>
        <bottom/>
        <vertical/>
        <horizontal/>
      </border>
    </dxf>
    <dxf>
      <numFmt numFmtId="167" formatCode="_-* #,##0\ [$€-1]_-;\-* #,##0\ [$€-1]_-;_-* &quot;-&quot;??\ [$€-1]_-;_-@_-"/>
      <border diagonalUp="0" diagonalDown="0" outline="0">
        <left style="thin">
          <color indexed="64"/>
        </left>
        <right/>
        <top/>
        <bottom style="thin">
          <color indexed="64"/>
        </bottom>
      </border>
    </dxf>
    <dxf>
      <border diagonalUp="0" diagonalDown="0">
        <left style="thin">
          <color indexed="64"/>
        </left>
        <right/>
        <top/>
        <bottom/>
        <vertical/>
        <horizontal/>
      </border>
    </dxf>
    <dxf>
      <numFmt numFmtId="167" formatCode="_-* #,##0\ [$€-1]_-;\-* #,##0\ [$€-1]_-;_-* &quot;-&quot;??\ [$€-1]_-;_-@_-"/>
      <border diagonalUp="0" diagonalDown="0" outline="0">
        <left/>
        <right/>
        <top/>
        <bottom style="thin">
          <color indexed="64"/>
        </bottom>
      </border>
    </dxf>
    <dxf>
      <numFmt numFmtId="167" formatCode="_-* #,##0\ [$€-1]_-;\-* #,##0\ [$€-1]_-;_-* &quot;-&quot;??\ [$€-1]_-;_-@_-"/>
      <border diagonalUp="0" diagonalDown="0">
        <left/>
        <right style="thin">
          <color indexed="64"/>
        </right>
        <vertical/>
      </border>
    </dxf>
    <dxf>
      <numFmt numFmtId="167" formatCode="_-* #,##0\ [$€-1]_-;\-* #,##0\ [$€-1]_-;_-* &quot;-&quot;??\ [$€-1]_-;_-@_-"/>
      <border diagonalUp="0" diagonalDown="0" outline="0">
        <left style="thin">
          <color indexed="64"/>
        </left>
        <right/>
        <top/>
        <bottom style="thin">
          <color indexed="64"/>
        </bottom>
      </border>
    </dxf>
    <dxf>
      <numFmt numFmtId="167" formatCode="_-* #,##0\ [$€-1]_-;\-* #,##0\ [$€-1]_-;_-* &quot;-&quot;??\ [$€-1]_-;_-@_-"/>
      <border diagonalUp="0" diagonalDown="0">
        <left style="thin">
          <color indexed="64"/>
        </left>
        <right/>
        <vertical/>
      </border>
    </dxf>
    <dxf>
      <numFmt numFmtId="167" formatCode="_-* #,##0\ [$€-1]_-;\-* #,##0\ [$€-1]_-;_-* &quot;-&quot;??\ [$€-1]_-;_-@_-"/>
    </dxf>
    <dxf>
      <numFmt numFmtId="167" formatCode="_-* #,##0\ [$€-1]_-;\-* #,##0\ [$€-1]_-;_-* &quot;-&quot;??\ [$€-1]_-;_-@_-"/>
    </dxf>
    <dxf>
      <numFmt numFmtId="167" formatCode="_-* #,##0\ [$€-1]_-;\-* #,##0\ [$€-1]_-;_-* &quot;-&quot;??\ [$€-1]_-;_-@_-"/>
    </dxf>
    <dxf>
      <numFmt numFmtId="167" formatCode="_-* #,##0\ [$€-1]_-;\-* #,##0\ [$€-1]_-;_-* &quot;-&quot;??\ [$€-1]_-;_-@_-"/>
    </dxf>
    <dxf>
      <font>
        <b val="0"/>
        <i val="0"/>
        <strike val="0"/>
        <condense val="0"/>
        <extend val="0"/>
        <outline val="0"/>
        <shadow val="0"/>
        <u val="none"/>
        <vertAlign val="baseline"/>
        <sz val="11"/>
        <color theme="1"/>
        <name val="Aptos Narrow"/>
        <family val="2"/>
        <scheme val="minor"/>
      </font>
    </dxf>
    <dxf>
      <numFmt numFmtId="167" formatCode="_-* #,##0\ [$€-1]_-;\-* #,##0\ [$€-1]_-;_-* &quot;-&quot;??\ [$€-1]_-;_-@_-"/>
    </dxf>
    <dxf>
      <numFmt numFmtId="167" formatCode="_-* #,##0\ [$€-1]_-;\-* #,##0\ [$€-1]_-;_-* &quot;-&quot;??\ [$€-1]_-;_-@_-"/>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C-Hub - YTD Cumulative Prognosis vs. Plan</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6394056847545225E-2"/>
          <c:y val="8.1808650188446658E-2"/>
          <c:w val="0.89445876399655466"/>
          <c:h val="0.86719986217108669"/>
        </c:manualLayout>
      </c:layout>
      <c:barChart>
        <c:barDir val="col"/>
        <c:grouping val="stacked"/>
        <c:varyColors val="0"/>
        <c:ser>
          <c:idx val="0"/>
          <c:order val="0"/>
          <c:tx>
            <c:strRef>
              <c:f>'Cost tracking chart'!$A$3</c:f>
              <c:strCache>
                <c:ptCount val="1"/>
                <c:pt idx="0">
                  <c:v>C-Hub Actuals (BM-00110021_001)</c:v>
                </c:pt>
              </c:strCache>
            </c:strRef>
          </c:tx>
          <c:spPr>
            <a:solidFill>
              <a:schemeClr val="accent1"/>
            </a:solidFill>
            <a:ln>
              <a:noFill/>
            </a:ln>
            <a:effectLst/>
          </c:spPr>
          <c:invertIfNegative val="0"/>
          <c:cat>
            <c:strRef>
              <c:f>'Cost tracking chart'!$B$2:$M$2</c:f>
              <c:strCache>
                <c:ptCount val="12"/>
                <c:pt idx="0">
                  <c:v>Jan-26</c:v>
                </c:pt>
                <c:pt idx="1">
                  <c:v>Feb-26</c:v>
                </c:pt>
                <c:pt idx="2">
                  <c:v>Mar-26</c:v>
                </c:pt>
                <c:pt idx="3">
                  <c:v>Apr-26</c:v>
                </c:pt>
                <c:pt idx="4">
                  <c:v>May-26</c:v>
                </c:pt>
                <c:pt idx="5">
                  <c:v>Jun-26</c:v>
                </c:pt>
                <c:pt idx="6">
                  <c:v>Jul-26</c:v>
                </c:pt>
                <c:pt idx="7">
                  <c:v>Aug-26</c:v>
                </c:pt>
                <c:pt idx="8">
                  <c:v>Sep-26</c:v>
                </c:pt>
                <c:pt idx="9">
                  <c:v>Oct-26</c:v>
                </c:pt>
                <c:pt idx="10">
                  <c:v>Nov-26</c:v>
                </c:pt>
                <c:pt idx="11">
                  <c:v>Dec-26</c:v>
                </c:pt>
              </c:strCache>
            </c:strRef>
          </c:cat>
          <c:val>
            <c:numRef>
              <c:f>'Cost tracking chart'!$B$3:$M$3</c:f>
              <c:numCache>
                <c:formatCode>_-* #\ ##0\ [$€-1]_-;\-* #\ ##0\ [$€-1]_-;_-* "-"??\ [$€-1]_-;_-@_-</c:formatCode>
                <c:ptCount val="12"/>
                <c:pt idx="0">
                  <c:v>216492.30074600002</c:v>
                </c:pt>
                <c:pt idx="1">
                  <c:v>540087.17543153791</c:v>
                </c:pt>
                <c:pt idx="2">
                  <c:v>1379756.8606808556</c:v>
                </c:pt>
              </c:numCache>
            </c:numRef>
          </c:val>
          <c:extLst>
            <c:ext xmlns:c16="http://schemas.microsoft.com/office/drawing/2014/chart" uri="{C3380CC4-5D6E-409C-BE32-E72D297353CC}">
              <c16:uniqueId val="{00000000-EE8D-43BF-AE7C-04B552A259B9}"/>
            </c:ext>
          </c:extLst>
        </c:ser>
        <c:ser>
          <c:idx val="1"/>
          <c:order val="1"/>
          <c:tx>
            <c:strRef>
              <c:f>'Cost tracking chart'!$A$4</c:f>
              <c:strCache>
                <c:ptCount val="1"/>
                <c:pt idx="0">
                  <c:v>Actuals not yet transferred to MCR</c:v>
                </c:pt>
              </c:strCache>
            </c:strRef>
          </c:tx>
          <c:spPr>
            <a:solidFill>
              <a:schemeClr val="accent2"/>
            </a:solidFill>
            <a:ln>
              <a:noFill/>
            </a:ln>
            <a:effectLst/>
          </c:spPr>
          <c:invertIfNegative val="0"/>
          <c:cat>
            <c:strRef>
              <c:f>'Cost tracking chart'!$B$2:$M$2</c:f>
              <c:strCache>
                <c:ptCount val="12"/>
                <c:pt idx="0">
                  <c:v>Jan-26</c:v>
                </c:pt>
                <c:pt idx="1">
                  <c:v>Feb-26</c:v>
                </c:pt>
                <c:pt idx="2">
                  <c:v>Mar-26</c:v>
                </c:pt>
                <c:pt idx="3">
                  <c:v>Apr-26</c:v>
                </c:pt>
                <c:pt idx="4">
                  <c:v>May-26</c:v>
                </c:pt>
                <c:pt idx="5">
                  <c:v>Jun-26</c:v>
                </c:pt>
                <c:pt idx="6">
                  <c:v>Jul-26</c:v>
                </c:pt>
                <c:pt idx="7">
                  <c:v>Aug-26</c:v>
                </c:pt>
                <c:pt idx="8">
                  <c:v>Sep-26</c:v>
                </c:pt>
                <c:pt idx="9">
                  <c:v>Oct-26</c:v>
                </c:pt>
                <c:pt idx="10">
                  <c:v>Nov-26</c:v>
                </c:pt>
                <c:pt idx="11">
                  <c:v>Dec-26</c:v>
                </c:pt>
              </c:strCache>
            </c:strRef>
          </c:cat>
          <c:val>
            <c:numRef>
              <c:f>'Cost tracking chart'!$B$4:$M$4</c:f>
              <c:numCache>
                <c:formatCode>_-* #\ ##0\ [$€-1]_-;\-* #\ ##0\ [$€-1]_-;_-* "-"??\ [$€-1]_-;_-@_-</c:formatCode>
                <c:ptCount val="12"/>
                <c:pt idx="0">
                  <c:v>65439.794948608163</c:v>
                </c:pt>
                <c:pt idx="1">
                  <c:v>108925.73989721632</c:v>
                </c:pt>
                <c:pt idx="2">
                  <c:v>180226.67759944766</c:v>
                </c:pt>
              </c:numCache>
            </c:numRef>
          </c:val>
          <c:extLst>
            <c:ext xmlns:c16="http://schemas.microsoft.com/office/drawing/2014/chart" uri="{C3380CC4-5D6E-409C-BE32-E72D297353CC}">
              <c16:uniqueId val="{00000001-EE8D-43BF-AE7C-04B552A259B9}"/>
            </c:ext>
          </c:extLst>
        </c:ser>
        <c:dLbls>
          <c:showLegendKey val="0"/>
          <c:showVal val="0"/>
          <c:showCatName val="0"/>
          <c:showSerName val="0"/>
          <c:showPercent val="0"/>
          <c:showBubbleSize val="0"/>
        </c:dLbls>
        <c:gapWidth val="150"/>
        <c:overlap val="100"/>
        <c:axId val="1812934831"/>
        <c:axId val="1812940111"/>
        <c:extLst>
          <c:ext xmlns:c15="http://schemas.microsoft.com/office/drawing/2012/chart" uri="{02D57815-91ED-43cb-92C2-25804820EDAC}">
            <c15:filteredBarSeries>
              <c15:ser>
                <c:idx val="4"/>
                <c:order val="4"/>
                <c:tx>
                  <c:strRef>
                    <c:extLst>
                      <c:ext uri="{02D57815-91ED-43cb-92C2-25804820EDAC}">
                        <c15:formulaRef>
                          <c15:sqref>'Cost tracking chart'!$A$7</c15:sqref>
                        </c15:formulaRef>
                      </c:ext>
                    </c:extLst>
                    <c:strCache>
                      <c:ptCount val="1"/>
                      <c:pt idx="0">
                        <c:v>Prognosis 2026 (based on YTD actuals)</c:v>
                      </c:pt>
                    </c:strCache>
                  </c:strRef>
                </c:tx>
                <c:spPr>
                  <a:solidFill>
                    <a:schemeClr val="accent5"/>
                  </a:solidFill>
                  <a:ln>
                    <a:noFill/>
                  </a:ln>
                  <a:effectLst/>
                </c:spPr>
                <c:invertIfNegative val="0"/>
                <c:dLbls>
                  <c:dLbl>
                    <c:idx val="11"/>
                    <c:showLegendKey val="0"/>
                    <c:showVal val="1"/>
                    <c:showCatName val="0"/>
                    <c:showSerName val="0"/>
                    <c:showPercent val="0"/>
                    <c:showBubbleSize val="0"/>
                    <c:extLst>
                      <c:ext uri="{CE6537A1-D6FC-4f65-9D91-7224C49458BB}"/>
                      <c:ext xmlns:c16="http://schemas.microsoft.com/office/drawing/2014/chart" uri="{C3380CC4-5D6E-409C-BE32-E72D297353CC}">
                        <c16:uniqueId val="{00000000-C147-4AE6-98EC-0FCE00637B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'Cost tracking chart'!$B$2:$M$2</c15:sqref>
                        </c15:formulaRef>
                      </c:ext>
                    </c:extLst>
                    <c:strCache>
                      <c:ptCount val="12"/>
                      <c:pt idx="0">
                        <c:v>Jan-26</c:v>
                      </c:pt>
                      <c:pt idx="1">
                        <c:v>Feb-26</c:v>
                      </c:pt>
                      <c:pt idx="2">
                        <c:v>Mar-26</c:v>
                      </c:pt>
                      <c:pt idx="3">
                        <c:v>Apr-26</c:v>
                      </c:pt>
                      <c:pt idx="4">
                        <c:v>May-26</c:v>
                      </c:pt>
                      <c:pt idx="5">
                        <c:v>Jun-26</c:v>
                      </c:pt>
                      <c:pt idx="6">
                        <c:v>Jul-26</c:v>
                      </c:pt>
                      <c:pt idx="7">
                        <c:v>Aug-26</c:v>
                      </c:pt>
                      <c:pt idx="8">
                        <c:v>Sep-26</c:v>
                      </c:pt>
                      <c:pt idx="9">
                        <c:v>Oct-26</c:v>
                      </c:pt>
                      <c:pt idx="10">
                        <c:v>Nov-26</c:v>
                      </c:pt>
                      <c:pt idx="11">
                        <c:v>Dec-26</c:v>
                      </c:pt>
                    </c:strCache>
                  </c:strRef>
                </c:cat>
                <c:val>
                  <c:numRef>
                    <c:extLst>
                      <c:ext uri="{02D57815-91ED-43cb-92C2-25804820EDAC}">
                        <c15:formulaRef>
                          <c15:sqref>'Cost tracking chart'!$B$7:$M$7</c15:sqref>
                        </c15:formulaRef>
                      </c:ext>
                    </c:extLst>
                    <c:numCache>
                      <c:formatCode>_-* #\ ##0\ [$€-1]_-;\-* #\ ##0\ [$€-1]_-;_-* "-"??\ [$€-1]_-;_-@_-</c:formatCode>
                      <c:ptCount val="12"/>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EE8D-43BF-AE7C-04B552A259B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'Cost tracking chart'!$A$8</c15:sqref>
                        </c15:formulaRef>
                      </c:ext>
                    </c:extLst>
                    <c:strCache>
                      <c:ptCount val="1"/>
                      <c:pt idx="0">
                        <c:v>Gap (Actuals vs Plan), in €</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'Cost tracking chart'!$B$2:$M$2</c15:sqref>
                        </c15:formulaRef>
                      </c:ext>
                    </c:extLst>
                    <c:strCache>
                      <c:ptCount val="12"/>
                      <c:pt idx="0">
                        <c:v>Jan-26</c:v>
                      </c:pt>
                      <c:pt idx="1">
                        <c:v>Feb-26</c:v>
                      </c:pt>
                      <c:pt idx="2">
                        <c:v>Mar-26</c:v>
                      </c:pt>
                      <c:pt idx="3">
                        <c:v>Apr-26</c:v>
                      </c:pt>
                      <c:pt idx="4">
                        <c:v>May-26</c:v>
                      </c:pt>
                      <c:pt idx="5">
                        <c:v>Jun-26</c:v>
                      </c:pt>
                      <c:pt idx="6">
                        <c:v>Jul-26</c:v>
                      </c:pt>
                      <c:pt idx="7">
                        <c:v>Aug-26</c:v>
                      </c:pt>
                      <c:pt idx="8">
                        <c:v>Sep-26</c:v>
                      </c:pt>
                      <c:pt idx="9">
                        <c:v>Oct-26</c:v>
                      </c:pt>
                      <c:pt idx="10">
                        <c:v>Nov-26</c:v>
                      </c:pt>
                      <c:pt idx="11">
                        <c:v>Dec-26</c:v>
                      </c:pt>
                    </c:strCache>
                  </c:strRef>
                </c:cat>
                <c:val>
                  <c:numRef>
                    <c:extLst xmlns:c15="http://schemas.microsoft.com/office/drawing/2012/chart">
                      <c:ext xmlns:c15="http://schemas.microsoft.com/office/drawing/2012/chart" uri="{02D57815-91ED-43cb-92C2-25804820EDAC}">
                        <c15:formulaRef>
                          <c15:sqref>'Cost tracking chart'!$B$8:$M$8</c15:sqref>
                        </c15:formulaRef>
                      </c:ext>
                    </c:extLst>
                    <c:numCache>
                      <c:formatCode>_-* #\ ##0\ [$€-1]_-;\-* #\ ##0\ [$€-1]_-;_-* "-"??\ [$€-1]_-;_-@_-</c:formatCode>
                      <c:ptCount val="12"/>
                      <c:pt idx="0">
                        <c:v>-125166.9641608324</c:v>
                      </c:pt>
                      <c:pt idx="1">
                        <c:v>-165185.20438212692</c:v>
                      </c:pt>
                      <c:pt idx="2">
                        <c:v>338686.35871398146</c:v>
                      </c:pt>
                      <c:pt idx="3">
                        <c:v>-1628396.2394217623</c:v>
                      </c:pt>
                      <c:pt idx="4">
                        <c:v>-2035495.2992772029</c:v>
                      </c:pt>
                      <c:pt idx="5">
                        <c:v>-2442594.3591326433</c:v>
                      </c:pt>
                      <c:pt idx="6">
                        <c:v>-2849693.418988084</c:v>
                      </c:pt>
                      <c:pt idx="7">
                        <c:v>-3256792.4788435246</c:v>
                      </c:pt>
                      <c:pt idx="8">
                        <c:v>-3663891.5386989652</c:v>
                      </c:pt>
                      <c:pt idx="9">
                        <c:v>-4070990.5985544058</c:v>
                      </c:pt>
                      <c:pt idx="10">
                        <c:v>-4478089.658409846</c:v>
                      </c:pt>
                      <c:pt idx="11">
                        <c:v>-4885188.7182652866</c:v>
                      </c:pt>
                    </c:numCache>
                  </c:numRef>
                </c:val>
                <c:extLst xmlns:c15="http://schemas.microsoft.com/office/drawing/2012/chart">
                  <c:ext xmlns:c16="http://schemas.microsoft.com/office/drawing/2014/chart" uri="{C3380CC4-5D6E-409C-BE32-E72D297353CC}">
                    <c16:uniqueId val="{00000005-EE8D-43BF-AE7C-04B552A259B9}"/>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'Cost tracking chart'!$A$9</c15:sqref>
                        </c15:formulaRef>
                      </c:ext>
                    </c:extLst>
                    <c:strCache>
                      <c:ptCount val="1"/>
                      <c:pt idx="0">
                        <c:v>Gap (Prognosis vs Plan), in %</c:v>
                      </c:pt>
                    </c:strCache>
                  </c:strRef>
                </c:tx>
                <c:spPr>
                  <a:solidFill>
                    <a:schemeClr val="accent1">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'Cost tracking chart'!$B$2:$M$2</c15:sqref>
                        </c15:formulaRef>
                      </c:ext>
                    </c:extLst>
                    <c:strCache>
                      <c:ptCount val="12"/>
                      <c:pt idx="0">
                        <c:v>Jan-26</c:v>
                      </c:pt>
                      <c:pt idx="1">
                        <c:v>Feb-26</c:v>
                      </c:pt>
                      <c:pt idx="2">
                        <c:v>Mar-26</c:v>
                      </c:pt>
                      <c:pt idx="3">
                        <c:v>Apr-26</c:v>
                      </c:pt>
                      <c:pt idx="4">
                        <c:v>May-26</c:v>
                      </c:pt>
                      <c:pt idx="5">
                        <c:v>Jun-26</c:v>
                      </c:pt>
                      <c:pt idx="6">
                        <c:v>Jul-26</c:v>
                      </c:pt>
                      <c:pt idx="7">
                        <c:v>Aug-26</c:v>
                      </c:pt>
                      <c:pt idx="8">
                        <c:v>Sep-26</c:v>
                      </c:pt>
                      <c:pt idx="9">
                        <c:v>Oct-26</c:v>
                      </c:pt>
                      <c:pt idx="10">
                        <c:v>Nov-26</c:v>
                      </c:pt>
                      <c:pt idx="11">
                        <c:v>Dec-26</c:v>
                      </c:pt>
                    </c:strCache>
                  </c:strRef>
                </c:cat>
                <c:val>
                  <c:numRef>
                    <c:extLst xmlns:c15="http://schemas.microsoft.com/office/drawing/2012/chart">
                      <c:ext xmlns:c15="http://schemas.microsoft.com/office/drawing/2012/chart" uri="{02D57815-91ED-43cb-92C2-25804820EDAC}">
                        <c15:formulaRef>
                          <c15:sqref>'Cost tracking chart'!$B$9:$M$9</c15:sqref>
                        </c15:formulaRef>
                      </c:ext>
                    </c:extLst>
                    <c:numCache>
                      <c:formatCode>0%</c:formatCode>
                      <c:ptCount val="12"/>
                      <c:pt idx="0">
                        <c:v>-0.30746070552282473</c:v>
                      </c:pt>
                      <c:pt idx="1">
                        <c:v>-0.20288084728172007</c:v>
                      </c:pt>
                      <c:pt idx="2">
                        <c:v>0.27731690892322197</c:v>
                      </c:pt>
                    </c:numCache>
                  </c:numRef>
                </c:val>
                <c:extLst xmlns:c15="http://schemas.microsoft.com/office/drawing/2012/chart">
                  <c:ext xmlns:c16="http://schemas.microsoft.com/office/drawing/2014/chart" uri="{C3380CC4-5D6E-409C-BE32-E72D297353CC}">
                    <c16:uniqueId val="{00000006-EE8D-43BF-AE7C-04B552A259B9}"/>
                  </c:ext>
                </c:extLst>
              </c15:ser>
            </c15:filteredBarSeries>
          </c:ext>
        </c:extLst>
      </c:barChart>
      <c:lineChart>
        <c:grouping val="standard"/>
        <c:varyColors val="0"/>
        <c:ser>
          <c:idx val="3"/>
          <c:order val="2"/>
          <c:tx>
            <c:strRef>
              <c:f>'Cost tracking chart'!$A$6</c:f>
              <c:strCache>
                <c:ptCount val="1"/>
                <c:pt idx="0">
                  <c:v>Plan CF02 (BM-00110021_001)</c:v>
                </c:pt>
              </c:strCache>
            </c:strRef>
          </c:tx>
          <c:spPr>
            <a:ln w="28575" cap="rnd">
              <a:solidFill>
                <a:schemeClr val="accent4"/>
              </a:solidFill>
              <a:round/>
            </a:ln>
            <a:effectLst/>
          </c:spPr>
          <c:marker>
            <c:symbol val="none"/>
          </c:marker>
          <c:dLbls>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E8D-43BF-AE7C-04B552A259B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bg-BG"/>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tracking chart'!$B$2:$M$2</c:f>
              <c:strCache>
                <c:ptCount val="12"/>
                <c:pt idx="0">
                  <c:v>Jan-26</c:v>
                </c:pt>
                <c:pt idx="1">
                  <c:v>Feb-26</c:v>
                </c:pt>
                <c:pt idx="2">
                  <c:v>Mar-26</c:v>
                </c:pt>
                <c:pt idx="3">
                  <c:v>Apr-26</c:v>
                </c:pt>
                <c:pt idx="4">
                  <c:v>May-26</c:v>
                </c:pt>
                <c:pt idx="5">
                  <c:v>Jun-26</c:v>
                </c:pt>
                <c:pt idx="6">
                  <c:v>Jul-26</c:v>
                </c:pt>
                <c:pt idx="7">
                  <c:v>Aug-26</c:v>
                </c:pt>
                <c:pt idx="8">
                  <c:v>Sep-26</c:v>
                </c:pt>
                <c:pt idx="9">
                  <c:v>Oct-26</c:v>
                </c:pt>
                <c:pt idx="10">
                  <c:v>Nov-26</c:v>
                </c:pt>
                <c:pt idx="11">
                  <c:v>Dec-26</c:v>
                </c:pt>
              </c:strCache>
            </c:strRef>
          </c:cat>
          <c:val>
            <c:numRef>
              <c:f>'Cost tracking chart'!$B$6:$M$6</c:f>
              <c:numCache>
                <c:formatCode>_-* #\ ##0\ [$€-1]_-;\-* #\ ##0\ [$€-1]_-;_-* "-"??\ [$€-1]_-;_-@_-</c:formatCode>
                <c:ptCount val="12"/>
                <c:pt idx="0">
                  <c:v>407099.05985544057</c:v>
                </c:pt>
                <c:pt idx="1">
                  <c:v>814198.11971088115</c:v>
                </c:pt>
                <c:pt idx="2">
                  <c:v>1221297.1795663217</c:v>
                </c:pt>
                <c:pt idx="3">
                  <c:v>1628396.2394217623</c:v>
                </c:pt>
                <c:pt idx="4">
                  <c:v>2035495.2992772029</c:v>
                </c:pt>
                <c:pt idx="5">
                  <c:v>2442594.3591326433</c:v>
                </c:pt>
                <c:pt idx="6">
                  <c:v>2849693.418988084</c:v>
                </c:pt>
                <c:pt idx="7">
                  <c:v>3256792.4788435246</c:v>
                </c:pt>
                <c:pt idx="8">
                  <c:v>3663891.5386989652</c:v>
                </c:pt>
                <c:pt idx="9">
                  <c:v>4070990.5985544058</c:v>
                </c:pt>
                <c:pt idx="10">
                  <c:v>4478089.658409846</c:v>
                </c:pt>
                <c:pt idx="11">
                  <c:v>4885188.7182652866</c:v>
                </c:pt>
              </c:numCache>
            </c:numRef>
          </c:val>
          <c:smooth val="0"/>
          <c:extLst>
            <c:ext xmlns:c16="http://schemas.microsoft.com/office/drawing/2014/chart" uri="{C3380CC4-5D6E-409C-BE32-E72D297353CC}">
              <c16:uniqueId val="{00000003-EE8D-43BF-AE7C-04B552A259B9}"/>
            </c:ext>
          </c:extLst>
        </c:ser>
        <c:ser>
          <c:idx val="2"/>
          <c:order val="3"/>
          <c:tx>
            <c:strRef>
              <c:f>'Cost tracking chart'!$A$5</c:f>
              <c:strCache>
                <c:ptCount val="1"/>
                <c:pt idx="0">
                  <c:v>C-Hub All Actuals (incl. not yet transferred)</c:v>
                </c:pt>
              </c:strCache>
            </c:strRef>
          </c:tx>
          <c:spPr>
            <a:ln w="28575" cap="rnd">
              <a:solidFill>
                <a:schemeClr val="bg1">
                  <a:alpha val="0"/>
                </a:schemeClr>
              </a:solidFill>
              <a:round/>
            </a:ln>
            <a:effectLst/>
          </c:spPr>
          <c:marker>
            <c:symbol val="none"/>
          </c:marker>
          <c:dLbls>
            <c:spPr>
              <a:solidFill>
                <a:schemeClr val="bg1">
                  <a:alpha val="31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bg-B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tracking chart'!$B$2:$M$2</c:f>
              <c:strCache>
                <c:ptCount val="12"/>
                <c:pt idx="0">
                  <c:v>Jan-26</c:v>
                </c:pt>
                <c:pt idx="1">
                  <c:v>Feb-26</c:v>
                </c:pt>
                <c:pt idx="2">
                  <c:v>Mar-26</c:v>
                </c:pt>
                <c:pt idx="3">
                  <c:v>Apr-26</c:v>
                </c:pt>
                <c:pt idx="4">
                  <c:v>May-26</c:v>
                </c:pt>
                <c:pt idx="5">
                  <c:v>Jun-26</c:v>
                </c:pt>
                <c:pt idx="6">
                  <c:v>Jul-26</c:v>
                </c:pt>
                <c:pt idx="7">
                  <c:v>Aug-26</c:v>
                </c:pt>
                <c:pt idx="8">
                  <c:v>Sep-26</c:v>
                </c:pt>
                <c:pt idx="9">
                  <c:v>Oct-26</c:v>
                </c:pt>
                <c:pt idx="10">
                  <c:v>Nov-26</c:v>
                </c:pt>
                <c:pt idx="11">
                  <c:v>Dec-26</c:v>
                </c:pt>
              </c:strCache>
            </c:strRef>
          </c:cat>
          <c:val>
            <c:numRef>
              <c:f>'Cost tracking chart'!$B$5:$M$5</c:f>
              <c:numCache>
                <c:formatCode>_-* #\ ##0\ [$€-1]_-;\-* #\ ##0\ [$€-1]_-;_-* "-"??\ [$€-1]_-;_-@_-</c:formatCode>
                <c:ptCount val="12"/>
                <c:pt idx="0">
                  <c:v>281932.09569460817</c:v>
                </c:pt>
                <c:pt idx="1">
                  <c:v>649012.91532875423</c:v>
                </c:pt>
                <c:pt idx="2">
                  <c:v>1559983.5382803031</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EE8D-43BF-AE7C-04B552A259B9}"/>
            </c:ext>
          </c:extLst>
        </c:ser>
        <c:ser>
          <c:idx val="9"/>
          <c:order val="7"/>
          <c:tx>
            <c:strRef>
              <c:f>'Cost tracking chart'!$A$7</c:f>
              <c:strCache>
                <c:ptCount val="1"/>
                <c:pt idx="0">
                  <c:v>Prognosis 2026 (based on YTD actuals)</c:v>
                </c:pt>
              </c:strCache>
            </c:strRef>
          </c:tx>
          <c:spPr>
            <a:ln w="28575" cap="rnd">
              <a:solidFill>
                <a:schemeClr val="accent4">
                  <a:lumMod val="60000"/>
                </a:schemeClr>
              </a:solidFill>
              <a:prstDash val="dash"/>
              <a:round/>
            </a:ln>
            <a:effectLst/>
          </c:spPr>
          <c:marker>
            <c:symbol val="none"/>
          </c:marker>
          <c:dLbls>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73-4BE6-869C-4593597DE14B}"/>
                </c:ext>
              </c:extLst>
            </c:dLbl>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tracking chart'!$B$2:$M$2</c:f>
              <c:strCache>
                <c:ptCount val="12"/>
                <c:pt idx="0">
                  <c:v>Jan-26</c:v>
                </c:pt>
                <c:pt idx="1">
                  <c:v>Feb-26</c:v>
                </c:pt>
                <c:pt idx="2">
                  <c:v>Mar-26</c:v>
                </c:pt>
                <c:pt idx="3">
                  <c:v>Apr-26</c:v>
                </c:pt>
                <c:pt idx="4">
                  <c:v>May-26</c:v>
                </c:pt>
                <c:pt idx="5">
                  <c:v>Jun-26</c:v>
                </c:pt>
                <c:pt idx="6">
                  <c:v>Jul-26</c:v>
                </c:pt>
                <c:pt idx="7">
                  <c:v>Aug-26</c:v>
                </c:pt>
                <c:pt idx="8">
                  <c:v>Sep-26</c:v>
                </c:pt>
                <c:pt idx="9">
                  <c:v>Oct-26</c:v>
                </c:pt>
                <c:pt idx="10">
                  <c:v>Nov-26</c:v>
                </c:pt>
                <c:pt idx="11">
                  <c:v>Dec-26</c:v>
                </c:pt>
              </c:strCache>
            </c:strRef>
          </c:cat>
          <c:val>
            <c:numRef>
              <c:f>'Cost tracking chart'!$B$7:$M$7</c:f>
              <c:numCache>
                <c:formatCode>_-* #\ ##0\ [$€-1]_-;\-* #\ ##0\ [$€-1]_-;_-* "-"??\ [$€-1]_-;_-@_-</c:formatCode>
                <c:ptCount val="12"/>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DAA-4AF5-9A95-C0855515426A}"/>
            </c:ext>
          </c:extLst>
        </c:ser>
        <c:dLbls>
          <c:showLegendKey val="0"/>
          <c:showVal val="0"/>
          <c:showCatName val="0"/>
          <c:showSerName val="0"/>
          <c:showPercent val="0"/>
          <c:showBubbleSize val="0"/>
        </c:dLbls>
        <c:marker val="1"/>
        <c:smooth val="0"/>
        <c:axId val="1812934831"/>
        <c:axId val="1812940111"/>
      </c:lineChart>
      <c:catAx>
        <c:axId val="181293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bg-BG"/>
          </a:p>
        </c:txPr>
        <c:crossAx val="1812940111"/>
        <c:crosses val="autoZero"/>
        <c:auto val="1"/>
        <c:lblAlgn val="ctr"/>
        <c:lblOffset val="100"/>
        <c:noMultiLvlLbl val="0"/>
      </c:catAx>
      <c:valAx>
        <c:axId val="1812940111"/>
        <c:scaling>
          <c:orientation val="minMax"/>
          <c:max val="7000000"/>
        </c:scaling>
        <c:delete val="0"/>
        <c:axPos val="l"/>
        <c:majorGridlines>
          <c:spPr>
            <a:ln w="9525" cap="flat" cmpd="sng" algn="ctr">
              <a:solidFill>
                <a:schemeClr val="tx1">
                  <a:lumMod val="15000"/>
                  <a:lumOff val="85000"/>
                </a:schemeClr>
              </a:solidFill>
              <a:round/>
            </a:ln>
            <a:effectLst/>
          </c:spPr>
        </c:majorGridlines>
        <c:numFmt formatCode="_-* #\ ##0\ [$€-1]_-;\-* #\ ##0\ [$€-1]_-;_-* &quot;-&quot;??\ [$€-1]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bg-BG"/>
          </a:p>
        </c:txPr>
        <c:crossAx val="181293483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bg-BG"/>
              </a:p>
            </c:txPr>
          </c:dispUnitsLbl>
        </c:dispUnits>
      </c:valAx>
      <c:spPr>
        <a:noFill/>
        <a:ln>
          <a:noFill/>
        </a:ln>
        <a:effectLst/>
      </c:spPr>
    </c:plotArea>
    <c:legend>
      <c:legendPos val="r"/>
      <c:legendEntry>
        <c:idx val="3"/>
        <c:delete val="1"/>
      </c:legendEntry>
      <c:layout>
        <c:manualLayout>
          <c:xMode val="edge"/>
          <c:yMode val="edge"/>
          <c:x val="0.10558187157298406"/>
          <c:y val="0.11878804778079799"/>
          <c:w val="0.33756815245478033"/>
          <c:h val="0.16835399596756895"/>
        </c:manualLayout>
      </c:layout>
      <c:overlay val="0"/>
      <c:spPr>
        <a:solidFill>
          <a:schemeClr val="bg1"/>
        </a:solidFill>
        <a:ln>
          <a:solidFill>
            <a:schemeClr val="bg2">
              <a:lumMod val="90000"/>
            </a:schemeClr>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chart>
  <c:spPr>
    <a:solidFill>
      <a:schemeClr val="bg1"/>
    </a:solidFill>
    <a:ln w="9525" cap="flat" cmpd="sng" algn="ctr">
      <a:noFill/>
      <a:round/>
    </a:ln>
    <a:effectLst/>
  </c:spPr>
  <c:txPr>
    <a:bodyPr/>
    <a:lstStyle/>
    <a:p>
      <a:pPr>
        <a:defRPr/>
      </a:pPr>
      <a:endParaRPr lang="bg-B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[HW2Cloud_Cost_planning_BP2026_for analyze.xlsx]Dashboards!PivotTable1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 vs. Planning &amp; Gap by Task</a:t>
            </a:r>
          </a:p>
        </c:rich>
      </c:tx>
      <c:layout>
        <c:manualLayout>
          <c:xMode val="edge"/>
          <c:yMode val="edge"/>
          <c:x val="0.49553650294612916"/>
          <c:y val="3.5600740818135285E-3"/>
        </c:manualLayout>
      </c:layout>
      <c:overlay val="0"/>
      <c:spPr>
        <a:noFill/>
        <a:ln>
          <a:noFill/>
        </a:ln>
        <a:effectLst/>
      </c:spPr>
    </c:title>
    <c:autoTitleDeleted val="0"/>
    <c:pivotFmts>
      <c:pivotFmt>
        <c:idx val="0"/>
        <c:spPr>
          <a:solidFill>
            <a:schemeClr val="accent1"/>
          </a:solidFill>
          <a:ln w="28575" cap="rnd">
            <a:no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9D781E-FC95-46B0-8122-E62629BF8C3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3CA7E9-96F5-4217-911D-BBC95BB6E03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ED8838-B023-4A28-B0E6-66349D6C1A6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F29314-A72C-4E18-B5D9-766AB3F00CA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28A36EB-A851-4B37-8C12-9CC74C6E8EF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2E92EC0-F9B6-40DD-A41B-B121A976DC9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876A77-627A-4F9E-B89B-59DAABE77BF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7143762-51D8-4490-82B5-0942576F4BD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4E8CC8-F47A-4A11-829C-EA1C114561C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EBF91D-8ADB-45F8-AB15-479BF7DD6A8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67A73C-2679-4B17-92F6-B518A28387E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D4C2941-DED0-4BF1-B336-94B35CA5C13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221741-7A2A-4B09-B1AA-006254C50D7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1BF779D-9F5A-4248-9A30-4F6CE9C8844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84D8D7-1059-4F0F-A8AD-A90E78A362A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089138-7DB2-441C-BA43-951ADCF785F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A62D8C-F97D-409B-A6FF-A69AF0E96BE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4F854B-55B0-45E4-B0E1-E3EF1785532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9F2C2E-7CF4-40F2-81BB-6A9ED8D6A9B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2ECFDE-CF39-47F5-B831-3AEE012083A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AFBCBD4-7CFB-4883-9870-15B201E8086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D9C5AF-CB96-42B0-853E-41BD0B03280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B4D1F8B-A2B3-417B-8F77-EC310E15735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48830D-CAE6-4EE4-A7B9-BC5E105456E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35DF9D-F007-431A-A272-483898E6E57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18AEA7-191E-4B9A-9C4F-D4B3A6C7843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0C2FF7-3B4B-4288-A1FC-1AA3C9A4776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295643-86E5-49F7-B9B5-F42E9B1CF7F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3BB47B-CD58-46C5-BEE8-1287D4705CC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D71E19-7A73-4135-9B93-8556353D1FE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8D45B9-614E-450E-8CB1-86F78E9B8AD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0F8C09-E6D4-4AD6-ADEB-75CED427580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E0EB7B-7A55-4508-A88E-FEE26500D2B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518E54F-DABD-499C-B829-A5B5C98DF1D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398EAE-0851-4BA6-9FD7-1098ED73ACA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ACAFDA9-54A3-4171-9811-8DBE5EDF2DF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3DFBD3-72A8-45DE-84F6-03AD9ADAA6D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37091C-546F-46AB-88D1-E4E72C1959D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1E150E-1F74-42A9-8D0D-301978EDFEA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290B54A-163D-41E3-A896-78AB15E8CF9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EB157A-0D29-4C8B-9BE0-B00668903D5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4"/>
        <c:dLbl>
          <c:idx val="0"/>
          <c:layout>
            <c:manualLayout>
              <c:x val="-4.3609633688368322E-2"/>
              <c:y val="-2.3045176432430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34B9F8-E42A-48C4-A3EB-9D5E7EE15EF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DFA562-C101-4B83-8321-E3F0D2DA6DB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219552-834A-4D20-AAC5-4A77CE47A79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89BCF3-AA59-4BFA-A82D-88C85AF1D6D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9"/>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ACF17F-C620-43D9-8A80-D4E1DB1388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C2C80C-516F-47E1-AA83-F3DF5A180ED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5EC61AF-77E3-485E-9B72-522BBE6A171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2"/>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604078-AA68-4DE8-A6FA-1EC23C59ADC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3"/>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BE2905-EE8A-4CAA-BCCE-D71197CAF04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4"/>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818599C-4765-45E0-BF0A-C03465EC333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5"/>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60BF08-95EA-4FD6-A2DF-1825866B9C8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6"/>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C52481-AFDD-4918-A0B3-D9ACE5004BB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7"/>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99C8DA-528A-4788-8788-C298830141A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8"/>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8DBCE4-6453-447E-B343-6B8A5AAEB02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9"/>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066AAC-3451-446C-842D-CFB561EEB4B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0"/>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C6F85-FA0F-4226-8C64-1053903AF9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1"/>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B96ED9E-8191-4537-B973-263DFFAF48A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F2ED39B-FC89-4A98-A4C5-69C346AD89B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3"/>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3EA69CF-35B3-421E-9134-8BA30E3BF32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4"/>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AE742F-CD07-427E-B9A2-7CFA84B4B43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5"/>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F0D23C-8EA4-4AC9-B519-0D8CDA4BC44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6"/>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A63333-C6EB-4A94-B872-C45087BCCFE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7"/>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852930-B621-41A8-9CFA-503C9D2F480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BE198F-4475-45DE-9AEE-FB98C6243C6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9"/>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88CCD9-8584-451A-825B-E358BF4455D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DDBBCD-23C9-43FC-8767-665B6ADC60A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21B2D29-0C94-45BC-A2D8-AD12BD496C9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2"/>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DE3E00-7ADD-4297-8070-6896695C4AF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3"/>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7D501E7-929C-42B9-ADAD-0E68F05F1B2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4"/>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04D760-007F-4AB9-9FAA-6C2B4793F4E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5"/>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D9B3C60-3FAC-4DD3-96F3-0CB1DE3AA0B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6"/>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389900A-9B40-4B85-80CC-4AFD48B8EC3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7"/>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BFD4C96-EF68-488D-80CA-8CFA58BAD1C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8"/>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55CF79-6964-48BA-9CA7-1FA497309E6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72758C-683A-4B9E-B69A-CA2D1C1DD19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799327-4DFA-43E6-883A-F8E7AF5A1C7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1"/>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8D43B4-E2BC-44DC-A3B6-050ACD8E223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2"/>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8D7102-56E0-4CA2-BC88-051389018C3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3"/>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B126A1-D62E-4310-AABE-A5C6B43867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4"/>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7D10ABF-078A-4963-A890-BA21A1D451D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5"/>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BC2422-F56D-4123-BB23-E0EBD6605F5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6"/>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3558C0-97B8-487D-A709-A610429618E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7"/>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2A6159-7836-44F3-80EB-876151B3FE6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9D9914-6C86-45BB-B67D-806044E6B58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6F613E-B088-47CD-9222-A15D6F2D04D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0"/>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361911-8EAD-4773-A670-95A9C71B045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A426F27-2D5C-4C67-BF0B-EBB4864B428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3"/>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4"/>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BE2905-EE8A-4CAA-BCCE-D71197CAF04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5"/>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3EA69CF-35B3-421E-9134-8BA30E3BF32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6"/>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361911-8EAD-4773-A670-95A9C71B045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7"/>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BFD4C96-EF68-488D-80CA-8CFA58BAD1C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8"/>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389900A-9B40-4B85-80CC-4AFD48B8EC3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9"/>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604078-AA68-4DE8-A6FA-1EC23C59ADC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0"/>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818599C-4765-45E0-BF0A-C03465EC333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1"/>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C52481-AFDD-4918-A0B3-D9ACE5004BB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2"/>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BC2422-F56D-4123-BB23-E0EBD6605F5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3"/>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2A6159-7836-44F3-80EB-876151B3FE6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4"/>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C6F85-FA0F-4226-8C64-1053903AF9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5"/>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A63333-C6EB-4A94-B872-C45087BCCFE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6"/>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D9B3C60-3FAC-4DD3-96F3-0CB1DE3AA0B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7"/>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55CF79-6964-48BA-9CA7-1FA497309E6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8"/>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066AAC-3451-446C-842D-CFB561EEB4B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9"/>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8DBCE4-6453-447E-B343-6B8A5AAEB02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0"/>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60BF08-95EA-4FD6-A2DF-1825866B9C8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1"/>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7D10ABF-078A-4963-A890-BA21A1D451D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2"/>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3558C0-97B8-487D-A709-A610429618E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3"/>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7D501E7-929C-42B9-ADAD-0E68F05F1B2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4"/>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B96ED9E-8191-4537-B973-263DFFAF48A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5"/>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B126A1-D62E-4310-AABE-A5C6B43867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6"/>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04D760-007F-4AB9-9FAA-6C2B4793F4E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7"/>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8D7102-56E0-4CA2-BC88-051389018C3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8"/>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8D43B4-E2BC-44DC-A3B6-050ACD8E223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9"/>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DE3E00-7ADD-4297-8070-6896695C4AF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0"/>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99C8DA-528A-4788-8788-C298830141A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1"/>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AE742F-CD07-427E-B9A2-7CFA84B4B43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2"/>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88CCD9-8584-451A-825B-E358BF4455D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3"/>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F0D23C-8EA4-4AC9-B519-0D8CDA4BC44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4"/>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852930-B621-41A8-9CFA-503C9D2F480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5"/>
        <c:spPr>
          <a:solidFill>
            <a:schemeClr val="accent1"/>
          </a:solidFill>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ACF17F-C620-43D9-8A80-D4E1DB1388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6"/>
        <c:spPr>
          <a:solidFill>
            <a:schemeClr val="accent1"/>
          </a:solidFill>
          <a:ln w="28575" cap="rnd">
            <a:noFill/>
            <a:round/>
          </a:ln>
          <a:effectLst/>
        </c:spPr>
        <c:marker>
          <c:symbol val="none"/>
        </c:marker>
        <c:dLbl>
          <c:idx val="0"/>
          <c:delete val="1"/>
          <c:extLst>
            <c:ext xmlns:c15="http://schemas.microsoft.com/office/drawing/2012/chart" uri="{CE6537A1-D6FC-4f65-9D91-7224C49458BB}"/>
          </c:extLst>
        </c:dLbl>
      </c:pivotFmt>
      <c:pivotFmt>
        <c:idx val="127"/>
        <c:spPr>
          <a:solidFill>
            <a:srgbClr val="156082"/>
          </a:solidFill>
          <a:ln>
            <a:noFill/>
          </a:ln>
          <a:effectLst/>
        </c:spPr>
        <c:marker>
          <c:symbol val="none"/>
        </c:marker>
        <c:dLbl>
          <c:idx val="0"/>
          <c:delete val="1"/>
          <c:extLst>
            <c:ext xmlns:c15="http://schemas.microsoft.com/office/drawing/2012/chart" uri="{CE6537A1-D6FC-4f65-9D91-7224C49458BB}"/>
          </c:extLst>
        </c:dLbl>
      </c:pivotFmt>
      <c:pivotFmt>
        <c:idx val="128"/>
        <c:spPr>
          <a:ln w="28575" cap="rnd">
            <a:noFill/>
            <a:round/>
          </a:ln>
          <a:effectLst/>
        </c:spPr>
        <c:marker>
          <c:symbol val="dash"/>
          <c:size val="2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9"/>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BE2905-EE8A-4CAA-BCCE-D71197CAF04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0"/>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3EA69CF-35B3-421E-9134-8BA30E3BF32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1"/>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361911-8EAD-4773-A670-95A9C71B045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2"/>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BFD4C96-EF68-488D-80CA-8CFA58BAD1C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3"/>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389900A-9B40-4B85-80CC-4AFD48B8EC3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4"/>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604078-AA68-4DE8-A6FA-1EC23C59ADC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5"/>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818599C-4765-45E0-BF0A-C03465EC333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6"/>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C52481-AFDD-4918-A0B3-D9ACE5004BB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7"/>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BC2422-F56D-4123-BB23-E0EBD6605F5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8"/>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2A6159-7836-44F3-80EB-876151B3FE6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9"/>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C6F85-FA0F-4226-8C64-1053903AF9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0"/>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A63333-C6EB-4A94-B872-C45087BCCFE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1"/>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D9B3C60-3FAC-4DD3-96F3-0CB1DE3AA0B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2"/>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55CF79-6964-48BA-9CA7-1FA497309E6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3"/>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066AAC-3451-446C-842D-CFB561EEB4B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4"/>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8DBCE4-6453-447E-B343-6B8A5AAEB02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5"/>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60BF08-95EA-4FD6-A2DF-1825866B9C8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6"/>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7D10ABF-078A-4963-A890-BA21A1D451D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7"/>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3558C0-97B8-487D-A709-A610429618E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8"/>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7D501E7-929C-42B9-ADAD-0E68F05F1B2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9"/>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B96ED9E-8191-4537-B973-263DFFAF48A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0"/>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B126A1-D62E-4310-AABE-A5C6B43867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1"/>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04D760-007F-4AB9-9FAA-6C2B4793F4E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2"/>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8D7102-56E0-4CA2-BC88-051389018C3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3"/>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8D43B4-E2BC-44DC-A3B6-050ACD8E223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4"/>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DE3E00-7ADD-4297-8070-6896695C4AF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5"/>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99C8DA-528A-4788-8788-C298830141A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6"/>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AE742F-CD07-427E-B9A2-7CFA84B4B43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7"/>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88CCD9-8584-451A-825B-E358BF4455D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8"/>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F0D23C-8EA4-4AC9-B519-0D8CDA4BC44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9"/>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852930-B621-41A8-9CFA-503C9D2F480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0"/>
        <c:spPr>
          <a:ln w="28575" cap="rnd">
            <a:noFill/>
            <a:round/>
          </a:ln>
          <a:effectLst/>
        </c:spPr>
        <c:marker>
          <c:symbol val="dash"/>
          <c:size val="2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ACF17F-C620-43D9-8A80-D4E1DB1388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1"/>
        <c:spPr>
          <a:ln w="28575" cap="rnd">
            <a:noFill/>
            <a:round/>
          </a:ln>
          <a:effectLst/>
        </c:spPr>
        <c:marker>
          <c:symbol val="none"/>
        </c:marker>
        <c:dLbl>
          <c:idx val="0"/>
          <c:delete val="1"/>
          <c:extLst>
            <c:ext xmlns:c15="http://schemas.microsoft.com/office/drawing/2012/chart" uri="{CE6537A1-D6FC-4f65-9D91-7224C49458BB}"/>
          </c:extLst>
        </c:dLbl>
      </c:pivotFmt>
      <c:pivotFmt>
        <c:idx val="162"/>
        <c:spPr>
          <a:solidFill>
            <a:srgbClr val="156082"/>
          </a:solidFill>
          <a:ln>
            <a:noFill/>
          </a:ln>
          <a:effectLst/>
        </c:spPr>
        <c:marker>
          <c:symbol val="none"/>
        </c:marker>
        <c:dLbl>
          <c:idx val="0"/>
          <c:delete val="1"/>
          <c:extLst>
            <c:ext xmlns:c15="http://schemas.microsoft.com/office/drawing/2012/chart" uri="{CE6537A1-D6FC-4f65-9D91-7224C49458BB}"/>
          </c:extLst>
        </c:dLbl>
      </c:pivotFmt>
      <c:pivotFmt>
        <c:idx val="163"/>
        <c:spPr>
          <a:ln>
            <a:noFill/>
          </a:ln>
          <a:effectLst/>
        </c:spPr>
        <c:marker>
          <c:symbol val="dash"/>
          <c:size val="20"/>
          <c:spPr>
            <a:solidFill>
              <a:schemeClr val="accent2"/>
            </a:solidFill>
            <a:ln w="9525">
              <a:solidFill>
                <a:schemeClr val="accent2"/>
              </a:solidFill>
            </a:ln>
            <a:effectLst/>
          </c:spPr>
        </c:marker>
        <c:dLbl>
          <c:idx val="0"/>
          <c:spPr>
            <a:solidFill>
              <a:schemeClr val="bg2">
                <a:alpha val="5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10AA69-2188-4A06-BBC5-B761FD8E89DD}"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452DAD-FB6B-49D4-A788-EFAD74B5F636}"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FAD849B-D008-4C0C-BEBC-2D8E2EDE6696}"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7F36A0-8142-4593-BE52-30F9DE888EE5}"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2A0E429-2674-44FA-AD66-350854F83061}"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8A0EBD-FE59-49F9-9F73-8248ECD57F2E}"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CE9622-85F8-47E0-A724-DCA6C56B53C1}"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FD6BF4-4791-4F33-A0E0-A17306B5384F}"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62C53F-D520-48C1-99FF-38923D23FA13}"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44F602-0BF4-414D-986C-70322BFB3A69}"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AAF6F0-9D11-4BE1-A5DC-E838E2AF4F92}"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419E02-A45D-457C-84A4-B340CCFFD0D3}"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2BD513-97A9-4BAE-8CF4-E3CB298D7700}"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EC2D12-8B77-4417-94D6-13F6CBDB8D58}"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EA2783-0813-4D06-BF61-78CC1B37A574}"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66E8CD-1A6D-44B0-96A6-5A7E534450B6}"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FD22626-965C-4292-AD3C-C2D2E521FFC7}"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A27CF26-A76E-44E4-AA57-D19F28FFEC23}"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65DDFC-0345-4DA1-BE32-43467B59425F}"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52EE49-0625-445C-9874-EA09D6873E9B}"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A3A67A0-61FF-49DE-B19B-E1696C9EE8D2}"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73DC01-F465-4ECE-90F6-31ACE1213156}"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9097CD-382D-4B03-9F68-F16792CA7B5B}"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2D87CE-ECB7-4BA1-A1DC-8B6F258A8D67}"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31DC02-50A1-4FDB-991D-738A25A6401E}"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CC1489-8B20-430E-857A-710EFCD7F355}"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5E95C8E-E63A-4702-818F-25EA1A847A79}"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E5FDA5-20E4-4007-B2F8-1284A79EDA5D}"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B26972-25F9-47CE-BEDB-8FDB666D026C}"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740C43-8744-4F38-99AE-C9C63729E123}"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86FA93-0637-4BEE-B3CB-71E9B0767058}"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BE9A328-7AA0-46A8-A990-1828979A702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96"/>
        <c:spPr>
          <a:ln>
            <a:noFill/>
          </a:ln>
          <a:effectLst/>
        </c:spPr>
        <c:marker>
          <c:symbol val="none"/>
        </c:marker>
        <c:dLbl>
          <c:idx val="0"/>
          <c:delete val="1"/>
          <c:extLst>
            <c:ext xmlns:c15="http://schemas.microsoft.com/office/drawing/2012/chart" uri="{CE6537A1-D6FC-4f65-9D91-7224C49458BB}"/>
          </c:extLst>
        </c:dLbl>
      </c:pivotFmt>
      <c:pivotFmt>
        <c:idx val="19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F6E34F-9302-4171-A6FB-D8D49A911BF4}"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F8C115-8502-4620-8DB8-786869D71A4D}"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6F06F6-91FE-49DD-AF45-F7BC26465E6E}"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F8DBF7-797E-4CC9-9B65-989D80CA6B70}"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244FD2-0AC8-4F2E-A093-5B2B42BA01EE}"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C712B43-EDA9-4BEE-9E6E-E45C594D850A}"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31127B4-5E4D-4B97-9F3C-35AFEC1A02C0}"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7B83F0F-177A-41A8-8C08-3919EEBFB2EE}"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C4E9EF8-C386-4DEE-A998-5349C939668B}"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8EA87C-3A74-4C3C-A527-E2315A24B8E4}"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A3C321-A4BA-4CA0-A097-F976B487087C}" type="CELLRANGE">
                  <a:rPr lang="bg-BG"/>
                  <a:pPr>
                    <a:defRPr sz="900" b="0" i="0" u="none" strike="noStrike" kern="1200" baseline="0">
                      <a:solidFill>
                        <a:schemeClr val="tx1">
                          <a:lumMod val="75000"/>
                          <a:lumOff val="25000"/>
                        </a:schemeClr>
                      </a:solidFill>
                      <a:latin typeface="+mn-lt"/>
                      <a:ea typeface="+mn-ea"/>
                      <a:cs typeface="+mn-cs"/>
                    </a:defRPr>
                  </a:pPr>
                  <a:t>[CELLRANGE]</a:t>
                </a:fld>
                <a:endParaRPr lang="bg-BG"/>
              </a:p>
            </c:rich>
          </c:tx>
          <c:spPr>
            <a:solidFill>
              <a:schemeClr val="bg2">
                <a:alpha val="55000"/>
              </a:schemeClr>
            </a:solid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8"/>
        <c:spPr>
          <a:solidFill>
            <a:schemeClr val="accent1"/>
          </a:solidFill>
          <a:ln>
            <a:noFill/>
          </a:ln>
        </c:spPr>
        <c:marker>
          <c:symbol val="none"/>
        </c:marker>
        <c:dLbl>
          <c:idx val="0"/>
          <c:delete val="1"/>
          <c:extLst>
            <c:ext xmlns:c15="http://schemas.microsoft.com/office/drawing/2012/chart" uri="{CE6537A1-D6FC-4f65-9D91-7224C49458BB}"/>
          </c:extLst>
        </c:dLbl>
      </c:pivotFmt>
      <c:pivotFmt>
        <c:idx val="209"/>
      </c:pivotFmt>
    </c:pivotFmts>
    <c:plotArea>
      <c:layout>
        <c:manualLayout>
          <c:layoutTarget val="inner"/>
          <c:xMode val="edge"/>
          <c:yMode val="edge"/>
          <c:x val="8.746896831564295E-2"/>
          <c:y val="3.8257430640657994E-2"/>
          <c:w val="0.86588836308675499"/>
          <c:h val="0.93213217980209617"/>
        </c:manualLayout>
      </c:layout>
      <c:barChart>
        <c:barDir val="col"/>
        <c:grouping val="clustered"/>
        <c:varyColors val="0"/>
        <c:ser>
          <c:idx val="0"/>
          <c:order val="0"/>
          <c:tx>
            <c:strRef>
              <c:f>Dashboards!$D$4:$D$52</c:f>
              <c:strCache>
                <c:ptCount val="1"/>
                <c:pt idx="0">
                  <c:v>Sum of CF05 C-Hub PF</c:v>
                </c:pt>
              </c:strCache>
            </c:strRef>
          </c:tx>
          <c:spPr>
            <a:solidFill>
              <a:schemeClr val="accent1"/>
            </a:solidFill>
            <a:ln>
              <a:noFill/>
            </a:ln>
          </c:spPr>
          <c:invertIfNegative val="0"/>
          <c:cat>
            <c:strRef>
              <c:f>Dashboards!$D$4:$D$52</c:f>
              <c:strCache>
                <c:ptCount val="43"/>
                <c:pt idx="0">
                  <c:v>Stretch target (budget cut)</c:v>
                </c:pt>
                <c:pt idx="1">
                  <c:v>Stretch target XC</c:v>
                </c:pt>
                <c:pt idx="2">
                  <c:v>PO for Cojali</c:v>
                </c:pt>
                <c:pt idx="3">
                  <c:v>VCS R&amp;D</c:v>
                </c:pt>
                <c:pt idx="4">
                  <c:v>ETAS-MSS Cojali</c:v>
                </c:pt>
                <c:pt idx="5">
                  <c:v>E2E System Team - SysArch - Requirements Eng. &amp; System development</c:v>
                </c:pt>
                <c:pt idx="6">
                  <c:v>Customer Cloud Integration / pre-development for VI integration</c:v>
                </c:pt>
                <c:pt idx="7">
                  <c:v>Security Manager</c:v>
                </c:pt>
                <c:pt idx="8">
                  <c:v>Performing V&amp;V</c:v>
                </c:pt>
                <c:pt idx="9">
                  <c:v>Product development lead</c:v>
                </c:pt>
                <c:pt idx="10">
                  <c:v>Service Management</c:v>
                </c:pt>
                <c:pt idx="11">
                  <c:v>Partner Manager</c:v>
                </c:pt>
                <c:pt idx="12">
                  <c:v>System Integration and Solution Architecture technical customer support</c:v>
                </c:pt>
                <c:pt idx="13">
                  <c:v>NA Team + other cost</c:v>
                </c:pt>
                <c:pt idx="14">
                  <c:v>Series Logistics Concept</c:v>
                </c:pt>
                <c:pt idx="15">
                  <c:v>Data / rev. Eng. and AI</c:v>
                </c:pt>
                <c:pt idx="16">
                  <c:v>C-Hub XC - HW Change for RS-232, K-LINE</c:v>
                </c:pt>
                <c:pt idx="17">
                  <c:v>C-Hub XC New Features</c:v>
                </c:pt>
                <c:pt idx="18">
                  <c:v>Refunding for C-Hub XC ögP</c:v>
                </c:pt>
                <c:pt idx="19">
                  <c:v>BD Support (Cojali &amp; CDK)</c:v>
                </c:pt>
                <c:pt idx="20">
                  <c:v>BD Support (Technical Documentation)</c:v>
                </c:pt>
                <c:pt idx="21">
                  <c:v>Customer integrations</c:v>
                </c:pt>
                <c:pt idx="22">
                  <c:v>Installation App development</c:v>
                </c:pt>
                <c:pt idx="23">
                  <c:v>CVIT Partner Manager</c:v>
                </c:pt>
                <c:pt idx="24">
                  <c:v>Refunding for C-Hub main project ögP</c:v>
                </c:pt>
                <c:pt idx="25">
                  <c:v>BD Support (PjM and Controlling)</c:v>
                </c:pt>
                <c:pt idx="26">
                  <c:v>Support BGSW (Arun)</c:v>
                </c:pt>
                <c:pt idx="27">
                  <c:v>Managing V&amp;V</c:v>
                </c:pt>
                <c:pt idx="28">
                  <c:v>E2E System Team - Requirements Eng. &amp; System development</c:v>
                </c:pt>
                <c:pt idx="29">
                  <c:v>EPQ</c:v>
                </c:pt>
                <c:pt idx="30">
                  <c:v>Operations L1/L2 Incident/Problem/Monitoring</c:v>
                </c:pt>
                <c:pt idx="31">
                  <c:v>Other cost / Lab, HW etc.</c:v>
                </c:pt>
                <c:pt idx="32">
                  <c:v>Technical Docu Cluj</c:v>
                </c:pt>
                <c:pt idx="33">
                  <c:v>Service Operation EU - VI</c:v>
                </c:pt>
                <c:pt idx="34">
                  <c:v>Service Operation NA - VI</c:v>
                </c:pt>
                <c:pt idx="35">
                  <c:v>R&amp;D at Cojali</c:v>
                </c:pt>
                <c:pt idx="36">
                  <c:v>CDK development</c:v>
                </c:pt>
                <c:pt idx="37">
                  <c:v>RM+RD config + Cojali + Pantaris configs</c:v>
                </c:pt>
                <c:pt idx="38">
                  <c:v>System integration and performing V&amp;V</c:v>
                </c:pt>
                <c:pt idx="39">
                  <c:v>MA for vehicle configuration</c:v>
                </c:pt>
                <c:pt idx="40">
                  <c:v>C-Hub XC Series Care_005</c:v>
                </c:pt>
                <c:pt idx="41">
                  <c:v>C-Hub XC Series Care_004</c:v>
                </c:pt>
                <c:pt idx="42">
                  <c:v>VCS SW maintance</c:v>
                </c:pt>
              </c:strCache>
            </c:strRef>
          </c:cat>
          <c:val>
            <c:numRef>
              <c:f>Dashboards!$D$4:$D$52</c:f>
              <c:numCache>
                <c:formatCode>_-* #\ ##0\ [$€-1]_-;\-* #\ ##0\ [$€-1]_-;_-* "-"??\ [$€-1]_-;_-@_-</c:formatCode>
                <c:ptCount val="43"/>
                <c:pt idx="0">
                  <c:v>-400000</c:v>
                </c:pt>
                <c:pt idx="1">
                  <c:v>-343003.95025112602</c:v>
                </c:pt>
                <c:pt idx="2">
                  <c:v>180000</c:v>
                </c:pt>
                <c:pt idx="3">
                  <c:v>682500</c:v>
                </c:pt>
                <c:pt idx="4">
                  <c:v>150000</c:v>
                </c:pt>
                <c:pt idx="5">
                  <c:v>157197.33333333334</c:v>
                </c:pt>
                <c:pt idx="6">
                  <c:v>78598.666666666672</c:v>
                </c:pt>
                <c:pt idx="7">
                  <c:v>19649.666666666668</c:v>
                </c:pt>
                <c:pt idx="8">
                  <c:v>81437</c:v>
                </c:pt>
                <c:pt idx="9">
                  <c:v>226865.10000000006</c:v>
                </c:pt>
                <c:pt idx="10">
                  <c:v>81435.784313725511</c:v>
                </c:pt>
                <c:pt idx="11">
                  <c:v>40717.892156862748</c:v>
                </c:pt>
                <c:pt idx="12">
                  <c:v>210721.50000000003</c:v>
                </c:pt>
                <c:pt idx="13">
                  <c:v>423141.91304347821</c:v>
                </c:pt>
                <c:pt idx="14">
                  <c:v>0</c:v>
                </c:pt>
                <c:pt idx="15">
                  <c:v>0</c:v>
                </c:pt>
                <c:pt idx="16">
                  <c:v>0</c:v>
                </c:pt>
                <c:pt idx="17">
                  <c:v>0</c:v>
                </c:pt>
                <c:pt idx="18">
                  <c:v>0</c:v>
                </c:pt>
                <c:pt idx="19">
                  <c:v>0</c:v>
                </c:pt>
                <c:pt idx="20">
                  <c:v>0</c:v>
                </c:pt>
                <c:pt idx="21">
                  <c:v>0</c:v>
                </c:pt>
                <c:pt idx="22">
                  <c:v>0</c:v>
                </c:pt>
                <c:pt idx="23">
                  <c:v>98689.339383297905</c:v>
                </c:pt>
                <c:pt idx="24">
                  <c:v>-330000</c:v>
                </c:pt>
                <c:pt idx="25">
                  <c:v>578153.67200000002</c:v>
                </c:pt>
                <c:pt idx="26">
                  <c:v>19721.52</c:v>
                </c:pt>
                <c:pt idx="27">
                  <c:v>81437</c:v>
                </c:pt>
                <c:pt idx="28">
                  <c:v>52462.84</c:v>
                </c:pt>
                <c:pt idx="29">
                  <c:v>26231.42</c:v>
                </c:pt>
                <c:pt idx="30">
                  <c:v>117898</c:v>
                </c:pt>
                <c:pt idx="31">
                  <c:v>20000</c:v>
                </c:pt>
                <c:pt idx="32">
                  <c:v>39299.333333333336</c:v>
                </c:pt>
                <c:pt idx="33">
                  <c:v>25000</c:v>
                </c:pt>
                <c:pt idx="34">
                  <c:v>25000</c:v>
                </c:pt>
                <c:pt idx="35">
                  <c:v>60000</c:v>
                </c:pt>
                <c:pt idx="36">
                  <c:v>78598.666666666672</c:v>
                </c:pt>
                <c:pt idx="37">
                  <c:v>131061.50666666667</c:v>
                </c:pt>
                <c:pt idx="38">
                  <c:v>196374.51428571428</c:v>
                </c:pt>
                <c:pt idx="39">
                  <c:v>210000</c:v>
                </c:pt>
                <c:pt idx="40">
                  <c:v>611000</c:v>
                </c:pt>
                <c:pt idx="41">
                  <c:v>1095000</c:v>
                </c:pt>
                <c:pt idx="42">
                  <c:v>370000</c:v>
                </c:pt>
              </c:numCache>
            </c:numRef>
          </c:val>
          <c:extLst>
            <c:ext xmlns:c16="http://schemas.microsoft.com/office/drawing/2014/chart" uri="{C3380CC4-5D6E-409C-BE32-E72D297353CC}">
              <c16:uniqueId val="{00000032-7234-49DD-922A-87907B3ADC53}"/>
            </c:ext>
          </c:extLst>
        </c:ser>
        <c:dLbls>
          <c:showLegendKey val="0"/>
          <c:showVal val="0"/>
          <c:showCatName val="0"/>
          <c:showSerName val="0"/>
          <c:showPercent val="0"/>
          <c:showBubbleSize val="0"/>
        </c:dLbls>
        <c:gapWidth val="219"/>
        <c:axId val="458465759"/>
        <c:axId val="458464799"/>
      </c:barChart>
      <c:lineChart>
        <c:grouping val="standard"/>
        <c:varyColors val="0"/>
        <c:ser>
          <c:idx val="1"/>
          <c:order val="1"/>
          <c:tx>
            <c:strRef>
              <c:f>Dashboards!$D$4:$D$52</c:f>
              <c:strCache>
                <c:ptCount val="1"/>
                <c:pt idx="0">
                  <c:v>Estimated at completion (Gap as number)</c:v>
                </c:pt>
              </c:strCache>
            </c:strRef>
          </c:tx>
          <c:spPr>
            <a:ln>
              <a:noFill/>
            </a:ln>
            <a:effectLst/>
          </c:spPr>
          <c:marker>
            <c:symbol val="dash"/>
            <c:size val="20"/>
            <c:spPr>
              <a:solidFill>
                <a:schemeClr val="accent2"/>
              </a:solidFill>
              <a:ln w="9525">
                <a:solidFill>
                  <a:schemeClr val="accent2"/>
                </a:solidFill>
              </a:ln>
              <a:effectLst/>
            </c:spPr>
          </c:marker>
          <c:dLbls>
            <c:dLbl>
              <c:idx val="0"/>
              <c:tx>
                <c:rich>
                  <a:bodyPr/>
                  <a:lstStyle/>
                  <a:p>
                    <a:fld id="{6BE9A328-7AA0-46A8-A990-1828979A7029}" type="CELLRANGE">
                      <a:rPr lang="en-US"/>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7234-49DD-922A-87907B3ADC53}"/>
                </c:ext>
              </c:extLst>
            </c:dLbl>
            <c:dLbl>
              <c:idx val="1"/>
              <c:tx>
                <c:rich>
                  <a:bodyPr/>
                  <a:lstStyle/>
                  <a:p>
                    <a:fld id="{C3A3C321-A4BA-4CA0-A097-F976B487087C}"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7234-49DD-922A-87907B3ADC53}"/>
                </c:ext>
              </c:extLst>
            </c:dLbl>
            <c:dLbl>
              <c:idx val="2"/>
              <c:tx>
                <c:rich>
                  <a:bodyPr/>
                  <a:lstStyle/>
                  <a:p>
                    <a:fld id="{748A0EBD-FE59-49F9-9F73-8248ECD57F2E}"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7234-49DD-922A-87907B3ADC53}"/>
                </c:ext>
              </c:extLst>
            </c:dLbl>
            <c:dLbl>
              <c:idx val="3"/>
              <c:tx>
                <c:rich>
                  <a:bodyPr/>
                  <a:lstStyle/>
                  <a:p>
                    <a:fld id="{B710AA69-2188-4A06-BBC5-B761FD8E89DD}"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7234-49DD-922A-87907B3ADC53}"/>
                </c:ext>
              </c:extLst>
            </c:dLbl>
            <c:dLbl>
              <c:idx val="4"/>
              <c:tx>
                <c:rich>
                  <a:bodyPr/>
                  <a:lstStyle/>
                  <a:p>
                    <a:fld id="{1BFD6BF4-4791-4F33-A0E0-A17306B5384F}"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7234-49DD-922A-87907B3ADC53}"/>
                </c:ext>
              </c:extLst>
            </c:dLbl>
            <c:dLbl>
              <c:idx val="5"/>
              <c:tx>
                <c:rich>
                  <a:bodyPr/>
                  <a:lstStyle/>
                  <a:p>
                    <a:fld id="{D3CE9622-85F8-47E0-A724-DCA6C56B53C1}"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7234-49DD-922A-87907B3ADC53}"/>
                </c:ext>
              </c:extLst>
            </c:dLbl>
            <c:dLbl>
              <c:idx val="6"/>
              <c:tx>
                <c:rich>
                  <a:bodyPr/>
                  <a:lstStyle/>
                  <a:p>
                    <a:fld id="{3FD22626-965C-4292-AD3C-C2D2E521FFC7}"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7234-49DD-922A-87907B3ADC53}"/>
                </c:ext>
              </c:extLst>
            </c:dLbl>
            <c:dLbl>
              <c:idx val="7"/>
              <c:tx>
                <c:rich>
                  <a:bodyPr/>
                  <a:lstStyle/>
                  <a:p>
                    <a:fld id="{E5E95C8E-E63A-4702-818F-25EA1A847A79}"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7234-49DD-922A-87907B3ADC53}"/>
                </c:ext>
              </c:extLst>
            </c:dLbl>
            <c:dLbl>
              <c:idx val="8"/>
              <c:tx>
                <c:rich>
                  <a:bodyPr/>
                  <a:lstStyle/>
                  <a:p>
                    <a:fld id="{EFEA2783-0813-4D06-BF61-78CC1B37A574}"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7234-49DD-922A-87907B3ADC53}"/>
                </c:ext>
              </c:extLst>
            </c:dLbl>
            <c:dLbl>
              <c:idx val="9"/>
              <c:tx>
                <c:rich>
                  <a:bodyPr/>
                  <a:lstStyle/>
                  <a:p>
                    <a:fld id="{01F6E34F-9302-4171-A6FB-D8D49A911BF4}"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7234-49DD-922A-87907B3ADC53}"/>
                </c:ext>
              </c:extLst>
            </c:dLbl>
            <c:dLbl>
              <c:idx val="10"/>
              <c:tx>
                <c:rich>
                  <a:bodyPr/>
                  <a:lstStyle/>
                  <a:p>
                    <a:fld id="{D766E8CD-1A6D-44B0-96A6-5A7E534450B6}"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7234-49DD-922A-87907B3ADC53}"/>
                </c:ext>
              </c:extLst>
            </c:dLbl>
            <c:dLbl>
              <c:idx val="11"/>
              <c:tx>
                <c:rich>
                  <a:bodyPr/>
                  <a:lstStyle/>
                  <a:p>
                    <a:fld id="{CA3A67A0-61FF-49DE-B19B-E1696C9EE8D2}"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7234-49DD-922A-87907B3ADC53}"/>
                </c:ext>
              </c:extLst>
            </c:dLbl>
            <c:dLbl>
              <c:idx val="12"/>
              <c:tx>
                <c:rich>
                  <a:bodyPr/>
                  <a:lstStyle/>
                  <a:p>
                    <a:fld id="{37F8C115-8502-4620-8DB8-786869D71A4D}"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7234-49DD-922A-87907B3ADC53}"/>
                </c:ext>
              </c:extLst>
            </c:dLbl>
            <c:dLbl>
              <c:idx val="13"/>
              <c:tx>
                <c:rich>
                  <a:bodyPr/>
                  <a:lstStyle/>
                  <a:p>
                    <a:fld id="{DB452DAD-FB6B-49D4-A788-EFAD74B5F636}"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7234-49DD-922A-87907B3ADC53}"/>
                </c:ext>
              </c:extLst>
            </c:dLbl>
            <c:dLbl>
              <c:idx val="14"/>
              <c:tx>
                <c:rich>
                  <a:bodyPr/>
                  <a:lstStyle/>
                  <a:p>
                    <a:fld id="{CE740C43-8744-4F38-99AE-C9C63729E123}"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7234-49DD-922A-87907B3ADC53}"/>
                </c:ext>
              </c:extLst>
            </c:dLbl>
            <c:dLbl>
              <c:idx val="15"/>
              <c:tx>
                <c:rich>
                  <a:bodyPr/>
                  <a:lstStyle/>
                  <a:p>
                    <a:fld id="{3DB26972-25F9-47CE-BEDB-8FDB666D026C}"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7234-49DD-922A-87907B3ADC53}"/>
                </c:ext>
              </c:extLst>
            </c:dLbl>
            <c:dLbl>
              <c:idx val="16"/>
              <c:tx>
                <c:rich>
                  <a:bodyPr/>
                  <a:lstStyle/>
                  <a:p>
                    <a:fld id="{698EA87C-3A74-4C3C-A527-E2315A24B8E4}"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7234-49DD-922A-87907B3ADC53}"/>
                </c:ext>
              </c:extLst>
            </c:dLbl>
            <c:dLbl>
              <c:idx val="17"/>
              <c:tx>
                <c:rich>
                  <a:bodyPr/>
                  <a:lstStyle/>
                  <a:p>
                    <a:fld id="{7C4E9EF8-C386-4DEE-A998-5349C939668B}"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7234-49DD-922A-87907B3ADC53}"/>
                </c:ext>
              </c:extLst>
            </c:dLbl>
            <c:dLbl>
              <c:idx val="18"/>
              <c:tx>
                <c:rich>
                  <a:bodyPr/>
                  <a:lstStyle/>
                  <a:p>
                    <a:fld id="{07B83F0F-177A-41A8-8C08-3919EEBFB2EE}"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7234-49DD-922A-87907B3ADC53}"/>
                </c:ext>
              </c:extLst>
            </c:dLbl>
            <c:dLbl>
              <c:idx val="19"/>
              <c:tx>
                <c:rich>
                  <a:bodyPr/>
                  <a:lstStyle/>
                  <a:p>
                    <a:fld id="{EA62C53F-D520-48C1-99FF-38923D23FA13}"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7234-49DD-922A-87907B3ADC53}"/>
                </c:ext>
              </c:extLst>
            </c:dLbl>
            <c:dLbl>
              <c:idx val="20"/>
              <c:tx>
                <c:rich>
                  <a:bodyPr/>
                  <a:lstStyle/>
                  <a:p>
                    <a:fld id="{5C2BD513-97A9-4BAE-8CF4-E3CB298D7700}"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7234-49DD-922A-87907B3ADC53}"/>
                </c:ext>
              </c:extLst>
            </c:dLbl>
            <c:dLbl>
              <c:idx val="21"/>
              <c:tx>
                <c:rich>
                  <a:bodyPr/>
                  <a:lstStyle/>
                  <a:p>
                    <a:fld id="{CFE5FDA5-20E4-4007-B2F8-1284A79EDA5D}"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7234-49DD-922A-87907B3ADC53}"/>
                </c:ext>
              </c:extLst>
            </c:dLbl>
            <c:dLbl>
              <c:idx val="22"/>
              <c:tx>
                <c:rich>
                  <a:bodyPr/>
                  <a:lstStyle/>
                  <a:p>
                    <a:fld id="{0E86FA93-0637-4BEE-B3CB-71E9B0767058}"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7234-49DD-922A-87907B3ADC53}"/>
                </c:ext>
              </c:extLst>
            </c:dLbl>
            <c:dLbl>
              <c:idx val="23"/>
              <c:tx>
                <c:rich>
                  <a:bodyPr/>
                  <a:lstStyle/>
                  <a:p>
                    <a:fld id="{B3419E02-A45D-457C-84A4-B340CCFFD0D3}"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7234-49DD-922A-87907B3ADC53}"/>
                </c:ext>
              </c:extLst>
            </c:dLbl>
            <c:dLbl>
              <c:idx val="24"/>
              <c:tx>
                <c:rich>
                  <a:bodyPr/>
                  <a:lstStyle/>
                  <a:p>
                    <a:fld id="{ED244FD2-0AC8-4F2E-A093-5B2B42BA01EE}"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7234-49DD-922A-87907B3ADC53}"/>
                </c:ext>
              </c:extLst>
            </c:dLbl>
            <c:dLbl>
              <c:idx val="25"/>
              <c:tx>
                <c:rich>
                  <a:bodyPr/>
                  <a:lstStyle/>
                  <a:p>
                    <a:fld id="{F57F36A0-8142-4593-BE52-30F9DE888EE5}"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7234-49DD-922A-87907B3ADC53}"/>
                </c:ext>
              </c:extLst>
            </c:dLbl>
            <c:dLbl>
              <c:idx val="26"/>
              <c:tx>
                <c:rich>
                  <a:bodyPr/>
                  <a:lstStyle/>
                  <a:p>
                    <a:fld id="{80CC1489-8B20-430E-857A-710EFCD7F355}"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7234-49DD-922A-87907B3ADC53}"/>
                </c:ext>
              </c:extLst>
            </c:dLbl>
            <c:dLbl>
              <c:idx val="27"/>
              <c:tx>
                <c:rich>
                  <a:bodyPr/>
                  <a:lstStyle/>
                  <a:p>
                    <a:fld id="{A6EC2D12-8B77-4417-94D6-13F6CBDB8D58}"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7234-49DD-922A-87907B3ADC53}"/>
                </c:ext>
              </c:extLst>
            </c:dLbl>
            <c:dLbl>
              <c:idx val="28"/>
              <c:tx>
                <c:rich>
                  <a:bodyPr/>
                  <a:lstStyle/>
                  <a:p>
                    <a:fld id="{2852EE49-0625-445C-9874-EA09D6873E9B}"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7234-49DD-922A-87907B3ADC53}"/>
                </c:ext>
              </c:extLst>
            </c:dLbl>
            <c:dLbl>
              <c:idx val="29"/>
              <c:tx>
                <c:rich>
                  <a:bodyPr/>
                  <a:lstStyle/>
                  <a:p>
                    <a:fld id="{EF9097CD-382D-4B03-9F68-F16792CA7B5B}"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7234-49DD-922A-87907B3ADC53}"/>
                </c:ext>
              </c:extLst>
            </c:dLbl>
            <c:dLbl>
              <c:idx val="30"/>
              <c:tx>
                <c:rich>
                  <a:bodyPr/>
                  <a:lstStyle/>
                  <a:p>
                    <a:fld id="{F6AAF6F0-9D11-4BE1-A5DC-E838E2AF4F92}"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7234-49DD-922A-87907B3ADC53}"/>
                </c:ext>
              </c:extLst>
            </c:dLbl>
            <c:dLbl>
              <c:idx val="31"/>
              <c:tx>
                <c:rich>
                  <a:bodyPr/>
                  <a:lstStyle/>
                  <a:p>
                    <a:fld id="{F4F8DBF7-797E-4CC9-9B65-989D80CA6B70}"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7234-49DD-922A-87907B3ADC53}"/>
                </c:ext>
              </c:extLst>
            </c:dLbl>
            <c:dLbl>
              <c:idx val="32"/>
              <c:tx>
                <c:rich>
                  <a:bodyPr/>
                  <a:lstStyle/>
                  <a:p>
                    <a:fld id="{6F73DC01-F465-4ECE-90F6-31ACE1213156}"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11A-4C08-A2C8-290F2AFC53E6}"/>
                </c:ext>
              </c:extLst>
            </c:dLbl>
            <c:dLbl>
              <c:idx val="33"/>
              <c:tx>
                <c:rich>
                  <a:bodyPr/>
                  <a:lstStyle/>
                  <a:p>
                    <a:fld id="{2D31DC02-50A1-4FDB-991D-738A25A6401E}"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11A-4C08-A2C8-290F2AFC53E6}"/>
                </c:ext>
              </c:extLst>
            </c:dLbl>
            <c:dLbl>
              <c:idx val="34"/>
              <c:tx>
                <c:rich>
                  <a:bodyPr/>
                  <a:lstStyle/>
                  <a:p>
                    <a:fld id="{962D87CE-ECB7-4BA1-A1DC-8B6F258A8D67}"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11A-4C08-A2C8-290F2AFC53E6}"/>
                </c:ext>
              </c:extLst>
            </c:dLbl>
            <c:dLbl>
              <c:idx val="35"/>
              <c:tx>
                <c:rich>
                  <a:bodyPr/>
                  <a:lstStyle/>
                  <a:p>
                    <a:fld id="{CE65DDFC-0345-4DA1-BE32-43467B59425F}"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11A-4C08-A2C8-290F2AFC53E6}"/>
                </c:ext>
              </c:extLst>
            </c:dLbl>
            <c:dLbl>
              <c:idx val="36"/>
              <c:tx>
                <c:rich>
                  <a:bodyPr/>
                  <a:lstStyle/>
                  <a:p>
                    <a:fld id="{1A27CF26-A76E-44E4-AA57-D19F28FFEC23}"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11A-4C08-A2C8-290F2AFC53E6}"/>
                </c:ext>
              </c:extLst>
            </c:dLbl>
            <c:dLbl>
              <c:idx val="37"/>
              <c:tx>
                <c:rich>
                  <a:bodyPr/>
                  <a:lstStyle/>
                  <a:p>
                    <a:fld id="{AE44F602-0BF4-414D-986C-70322BFB3A69}"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11A-4C08-A2C8-290F2AFC53E6}"/>
                </c:ext>
              </c:extLst>
            </c:dLbl>
            <c:dLbl>
              <c:idx val="38"/>
              <c:tx>
                <c:rich>
                  <a:bodyPr/>
                  <a:lstStyle/>
                  <a:p>
                    <a:fld id="{CC6F06F6-91FE-49DD-AF45-F7BC26465E6E}"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11A-4C08-A2C8-290F2AFC53E6}"/>
                </c:ext>
              </c:extLst>
            </c:dLbl>
            <c:dLbl>
              <c:idx val="39"/>
              <c:tx>
                <c:rich>
                  <a:bodyPr/>
                  <a:lstStyle/>
                  <a:p>
                    <a:fld id="{A2A0E429-2674-44FA-AD66-350854F83061}"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11A-4C08-A2C8-290F2AFC53E6}"/>
                </c:ext>
              </c:extLst>
            </c:dLbl>
            <c:dLbl>
              <c:idx val="40"/>
              <c:tx>
                <c:rich>
                  <a:bodyPr/>
                  <a:lstStyle/>
                  <a:p>
                    <a:fld id="{231127B4-5E4D-4B97-9F3C-35AFEC1A02C0}"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11A-4C08-A2C8-290F2AFC53E6}"/>
                </c:ext>
              </c:extLst>
            </c:dLbl>
            <c:dLbl>
              <c:idx val="41"/>
              <c:tx>
                <c:rich>
                  <a:bodyPr/>
                  <a:lstStyle/>
                  <a:p>
                    <a:fld id="{BC712B43-EDA9-4BEE-9E6E-E45C594D850A}"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11A-4C08-A2C8-290F2AFC53E6}"/>
                </c:ext>
              </c:extLst>
            </c:dLbl>
            <c:dLbl>
              <c:idx val="42"/>
              <c:tx>
                <c:rich>
                  <a:bodyPr/>
                  <a:lstStyle/>
                  <a:p>
                    <a:fld id="{3FAD849B-D008-4C0C-BEBC-2D8E2EDE6696}" type="CELLRANGE">
                      <a:rPr lang="bg-BG"/>
                      <a:pPr/>
                      <a:t>[CELLRANGE]</a:t>
                    </a:fld>
                    <a:endParaRPr lang="bg-B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11A-4C08-A2C8-290F2AFC53E6}"/>
                </c:ext>
              </c:extLst>
            </c:dLbl>
            <c:spPr>
              <a:solidFill>
                <a:schemeClr val="bg2">
                  <a:alpha val="5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Dashboards!$D$4:$D$52</c:f>
              <c:strCache>
                <c:ptCount val="43"/>
                <c:pt idx="0">
                  <c:v>Stretch target (budget cut)</c:v>
                </c:pt>
                <c:pt idx="1">
                  <c:v>Stretch target XC</c:v>
                </c:pt>
                <c:pt idx="2">
                  <c:v>PO for Cojali</c:v>
                </c:pt>
                <c:pt idx="3">
                  <c:v>VCS R&amp;D</c:v>
                </c:pt>
                <c:pt idx="4">
                  <c:v>ETAS-MSS Cojali</c:v>
                </c:pt>
                <c:pt idx="5">
                  <c:v>E2E System Team - SysArch - Requirements Eng. &amp; System development</c:v>
                </c:pt>
                <c:pt idx="6">
                  <c:v>Customer Cloud Integration / pre-development for VI integration</c:v>
                </c:pt>
                <c:pt idx="7">
                  <c:v>Security Manager</c:v>
                </c:pt>
                <c:pt idx="8">
                  <c:v>Performing V&amp;V</c:v>
                </c:pt>
                <c:pt idx="9">
                  <c:v>Product development lead</c:v>
                </c:pt>
                <c:pt idx="10">
                  <c:v>Service Management</c:v>
                </c:pt>
                <c:pt idx="11">
                  <c:v>Partner Manager</c:v>
                </c:pt>
                <c:pt idx="12">
                  <c:v>System Integration and Solution Architecture technical customer support</c:v>
                </c:pt>
                <c:pt idx="13">
                  <c:v>NA Team + other cost</c:v>
                </c:pt>
                <c:pt idx="14">
                  <c:v>Series Logistics Concept</c:v>
                </c:pt>
                <c:pt idx="15">
                  <c:v>Data / rev. Eng. and AI</c:v>
                </c:pt>
                <c:pt idx="16">
                  <c:v>C-Hub XC - HW Change for RS-232, K-LINE</c:v>
                </c:pt>
                <c:pt idx="17">
                  <c:v>C-Hub XC New Features</c:v>
                </c:pt>
                <c:pt idx="18">
                  <c:v>Refunding for C-Hub XC ögP</c:v>
                </c:pt>
                <c:pt idx="19">
                  <c:v>BD Support (Cojali &amp; CDK)</c:v>
                </c:pt>
                <c:pt idx="20">
                  <c:v>BD Support (Technical Documentation)</c:v>
                </c:pt>
                <c:pt idx="21">
                  <c:v>Customer integrations</c:v>
                </c:pt>
                <c:pt idx="22">
                  <c:v>Installation App development</c:v>
                </c:pt>
                <c:pt idx="23">
                  <c:v>CVIT Partner Manager</c:v>
                </c:pt>
                <c:pt idx="24">
                  <c:v>Refunding for C-Hub main project ögP</c:v>
                </c:pt>
                <c:pt idx="25">
                  <c:v>BD Support (PjM and Controlling)</c:v>
                </c:pt>
                <c:pt idx="26">
                  <c:v>Support BGSW (Arun)</c:v>
                </c:pt>
                <c:pt idx="27">
                  <c:v>Managing V&amp;V</c:v>
                </c:pt>
                <c:pt idx="28">
                  <c:v>E2E System Team - Requirements Eng. &amp; System development</c:v>
                </c:pt>
                <c:pt idx="29">
                  <c:v>EPQ</c:v>
                </c:pt>
                <c:pt idx="30">
                  <c:v>Operations L1/L2 Incident/Problem/Monitoring</c:v>
                </c:pt>
                <c:pt idx="31">
                  <c:v>Other cost / Lab, HW etc.</c:v>
                </c:pt>
                <c:pt idx="32">
                  <c:v>Technical Docu Cluj</c:v>
                </c:pt>
                <c:pt idx="33">
                  <c:v>Service Operation EU - VI</c:v>
                </c:pt>
                <c:pt idx="34">
                  <c:v>Service Operation NA - VI</c:v>
                </c:pt>
                <c:pt idx="35">
                  <c:v>R&amp;D at Cojali</c:v>
                </c:pt>
                <c:pt idx="36">
                  <c:v>CDK development</c:v>
                </c:pt>
                <c:pt idx="37">
                  <c:v>RM+RD config + Cojali + Pantaris configs</c:v>
                </c:pt>
                <c:pt idx="38">
                  <c:v>System integration and performing V&amp;V</c:v>
                </c:pt>
                <c:pt idx="39">
                  <c:v>MA for vehicle configuration</c:v>
                </c:pt>
                <c:pt idx="40">
                  <c:v>C-Hub XC Series Care_005</c:v>
                </c:pt>
                <c:pt idx="41">
                  <c:v>C-Hub XC Series Care_004</c:v>
                </c:pt>
                <c:pt idx="42">
                  <c:v>VCS SW maintance</c:v>
                </c:pt>
              </c:strCache>
            </c:strRef>
          </c:cat>
          <c:val>
            <c:numRef>
              <c:f>Dashboards!$D$4:$D$52</c:f>
              <c:numCache>
                <c:formatCode>_-* #\ ##0\ [$€-1]_-;\-* #\ ##0\ [$€-1]_-;_-* "-"??\ [$€-1]_-;_-@_-</c:formatCode>
                <c:ptCount val="43"/>
                <c:pt idx="0">
                  <c:v>0</c:v>
                </c:pt>
                <c:pt idx="1">
                  <c:v>0</c:v>
                </c:pt>
                <c:pt idx="2">
                  <c:v>332000.00000000012</c:v>
                </c:pt>
                <c:pt idx="3">
                  <c:v>823999.99999999988</c:v>
                </c:pt>
                <c:pt idx="4">
                  <c:v>277605</c:v>
                </c:pt>
                <c:pt idx="5">
                  <c:v>187708.69312000004</c:v>
                </c:pt>
                <c:pt idx="6">
                  <c:v>99491.888960000011</c:v>
                </c:pt>
                <c:pt idx="7">
                  <c:v>29468.334800000004</c:v>
                </c:pt>
                <c:pt idx="8">
                  <c:v>85415.613680000009</c:v>
                </c:pt>
                <c:pt idx="9">
                  <c:v>229309.12600000011</c:v>
                </c:pt>
                <c:pt idx="10">
                  <c:v>83713.806714771272</c:v>
                </c:pt>
                <c:pt idx="11">
                  <c:v>42387.109037647075</c:v>
                </c:pt>
                <c:pt idx="12">
                  <c:v>210795.75</c:v>
                </c:pt>
                <c:pt idx="13">
                  <c:v>423141.92753623187</c:v>
                </c:pt>
                <c:pt idx="14">
                  <c:v>0</c:v>
                </c:pt>
                <c:pt idx="15">
                  <c:v>0</c:v>
                </c:pt>
                <c:pt idx="16">
                  <c:v>0</c:v>
                </c:pt>
                <c:pt idx="17">
                  <c:v>0</c:v>
                </c:pt>
                <c:pt idx="18">
                  <c:v>0</c:v>
                </c:pt>
                <c:pt idx="19">
                  <c:v>0</c:v>
                </c:pt>
                <c:pt idx="20">
                  <c:v>0</c:v>
                </c:pt>
                <c:pt idx="21">
                  <c:v>0</c:v>
                </c:pt>
                <c:pt idx="22">
                  <c:v>0</c:v>
                </c:pt>
                <c:pt idx="23">
                  <c:v>98689.339383297935</c:v>
                </c:pt>
                <c:pt idx="24">
                  <c:v>-330000</c:v>
                </c:pt>
                <c:pt idx="25">
                  <c:v>578153.25399999996</c:v>
                </c:pt>
                <c:pt idx="26">
                  <c:v>19485.290280455996</c:v>
                </c:pt>
                <c:pt idx="27">
                  <c:v>81039.090160000007</c:v>
                </c:pt>
                <c:pt idx="28">
                  <c:v>51767.234199048005</c:v>
                </c:pt>
                <c:pt idx="29">
                  <c:v>24979.624858620002</c:v>
                </c:pt>
                <c:pt idx="30">
                  <c:v>115803.33551999998</c:v>
                </c:pt>
                <c:pt idx="31">
                  <c:v>16870.366666666665</c:v>
                </c:pt>
                <c:pt idx="32">
                  <c:v>35292.433120000002</c:v>
                </c:pt>
                <c:pt idx="33">
                  <c:v>18750</c:v>
                </c:pt>
                <c:pt idx="34">
                  <c:v>18750</c:v>
                </c:pt>
                <c:pt idx="35">
                  <c:v>50000</c:v>
                </c:pt>
                <c:pt idx="36">
                  <c:v>66848.14112</c:v>
                </c:pt>
                <c:pt idx="37">
                  <c:v>110716.23419904802</c:v>
                </c:pt>
                <c:pt idx="38">
                  <c:v>172254.28571428568</c:v>
                </c:pt>
                <c:pt idx="39">
                  <c:v>184135.01</c:v>
                </c:pt>
                <c:pt idx="40">
                  <c:v>569604.27080000006</c:v>
                </c:pt>
                <c:pt idx="41">
                  <c:v>975412.02979754005</c:v>
                </c:pt>
                <c:pt idx="42">
                  <c:v>222000</c:v>
                </c:pt>
              </c:numCache>
            </c:numRef>
          </c:val>
          <c:smooth val="0"/>
          <c:extLst>
            <c:ext xmlns:c15="http://schemas.microsoft.com/office/drawing/2012/chart" uri="{02D57815-91ED-43cb-92C2-25804820EDAC}">
              <c15:datalabelsRange>
                <c15:f>Dashboards!$D$4:$D$52</c15:f>
                <c15:dlblRangeCache>
                  <c:ptCount val="49"/>
                  <c:pt idx="0">
                    <c:v> 400 000 € </c:v>
                  </c:pt>
                  <c:pt idx="1">
                    <c:v> 343 004 € </c:v>
                  </c:pt>
                  <c:pt idx="2">
                    <c:v> 152 000 € </c:v>
                  </c:pt>
                  <c:pt idx="3">
                    <c:v> 141 500 € </c:v>
                  </c:pt>
                  <c:pt idx="4">
                    <c:v> 127 605 € </c:v>
                  </c:pt>
                  <c:pt idx="5">
                    <c:v> 30 511 € </c:v>
                  </c:pt>
                  <c:pt idx="6">
                    <c:v> 20 893 € </c:v>
                  </c:pt>
                  <c:pt idx="7">
                    <c:v> 9 819 € </c:v>
                  </c:pt>
                  <c:pt idx="8">
                    <c:v> 3 979 € </c:v>
                  </c:pt>
                  <c:pt idx="9">
                    <c:v> 2 444 € </c:v>
                  </c:pt>
                  <c:pt idx="10">
                    <c:v> 2 278 € </c:v>
                  </c:pt>
                  <c:pt idx="11">
                    <c:v> 1 669 € </c:v>
                  </c:pt>
                  <c:pt idx="12">
                    <c:v> 74 € </c:v>
                  </c:pt>
                  <c:pt idx="13">
                    <c:v> 0 € </c:v>
                  </c:pt>
                  <c:pt idx="14">
                    <c:v> -   € </c:v>
                  </c:pt>
                  <c:pt idx="15">
                    <c:v> -   € </c:v>
                  </c:pt>
                  <c:pt idx="16">
                    <c:v> -   € </c:v>
                  </c:pt>
                  <c:pt idx="17">
                    <c:v> -   € </c:v>
                  </c:pt>
                  <c:pt idx="18">
                    <c:v> -   € </c:v>
                  </c:pt>
                  <c:pt idx="19">
                    <c:v> -   € </c:v>
                  </c:pt>
                  <c:pt idx="20">
                    <c:v> -   € </c:v>
                  </c:pt>
                  <c:pt idx="21">
                    <c:v> -   € </c:v>
                  </c:pt>
                  <c:pt idx="22">
                    <c:v> -   € </c:v>
                  </c:pt>
                  <c:pt idx="23">
                    <c:v> -   € </c:v>
                  </c:pt>
                  <c:pt idx="24">
                    <c:v> -   € </c:v>
                  </c:pt>
                  <c:pt idx="25">
                    <c:v>-0 € </c:v>
                  </c:pt>
                  <c:pt idx="26">
                    <c:v>-236 € </c:v>
                  </c:pt>
                  <c:pt idx="27">
                    <c:v>-398 € </c:v>
                  </c:pt>
                  <c:pt idx="28">
                    <c:v>-696 € </c:v>
                  </c:pt>
                  <c:pt idx="29">
                    <c:v>-1 252 € </c:v>
                  </c:pt>
                  <c:pt idx="30">
                    <c:v>-2 095 € </c:v>
                  </c:pt>
                  <c:pt idx="31">
                    <c:v>-3 130 € </c:v>
                  </c:pt>
                  <c:pt idx="32">
                    <c:v>-4 007 € </c:v>
                  </c:pt>
                  <c:pt idx="33">
                    <c:v>-6 250 € </c:v>
                  </c:pt>
                  <c:pt idx="34">
                    <c:v>-6 250 € </c:v>
                  </c:pt>
                  <c:pt idx="35">
                    <c:v>-10 000 € </c:v>
                  </c:pt>
                  <c:pt idx="36">
                    <c:v>-11 751 € </c:v>
                  </c:pt>
                  <c:pt idx="37">
                    <c:v>-20 345 € </c:v>
                  </c:pt>
                  <c:pt idx="38">
                    <c:v>-24 120 € </c:v>
                  </c:pt>
                  <c:pt idx="39">
                    <c:v>-25 865 € </c:v>
                  </c:pt>
                  <c:pt idx="40">
                    <c:v>-41 396 € </c:v>
                  </c:pt>
                  <c:pt idx="41">
                    <c:v>-119 588 € </c:v>
                  </c:pt>
                  <c:pt idx="42">
                    <c:v>-148 000 € </c:v>
                  </c:pt>
                  <c:pt idx="43">
                    <c:v> 810 398 € </c:v>
                  </c:pt>
                </c15:dlblRangeCache>
              </c15:datalabelsRange>
            </c:ext>
            <c:ext xmlns:c16="http://schemas.microsoft.com/office/drawing/2014/chart" uri="{C3380CC4-5D6E-409C-BE32-E72D297353CC}">
              <c16:uniqueId val="{00000054-7234-49DD-922A-87907B3ADC53}"/>
            </c:ext>
          </c:extLst>
        </c:ser>
        <c:ser>
          <c:idx val="2"/>
          <c:order val="2"/>
          <c:tx>
            <c:strRef>
              <c:f>Dashboards!$D$4:$D$52</c:f>
              <c:strCache>
                <c:ptCount val="1"/>
                <c:pt idx="0">
                  <c:v>Gap (Prognosis vs. Plan)</c:v>
                </c:pt>
              </c:strCache>
            </c:strRef>
          </c:tx>
          <c:spPr>
            <a:ln>
              <a:noFill/>
            </a:ln>
            <a:effectLst/>
          </c:spPr>
          <c:marker>
            <c:symbol val="none"/>
          </c:marker>
          <c:cat>
            <c:strRef>
              <c:f>Dashboards!$D$4:$D$52</c:f>
              <c:strCache>
                <c:ptCount val="43"/>
                <c:pt idx="0">
                  <c:v>Stretch target (budget cut)</c:v>
                </c:pt>
                <c:pt idx="1">
                  <c:v>Stretch target XC</c:v>
                </c:pt>
                <c:pt idx="2">
                  <c:v>PO for Cojali</c:v>
                </c:pt>
                <c:pt idx="3">
                  <c:v>VCS R&amp;D</c:v>
                </c:pt>
                <c:pt idx="4">
                  <c:v>ETAS-MSS Cojali</c:v>
                </c:pt>
                <c:pt idx="5">
                  <c:v>E2E System Team - SysArch - Requirements Eng. &amp; System development</c:v>
                </c:pt>
                <c:pt idx="6">
                  <c:v>Customer Cloud Integration / pre-development for VI integration</c:v>
                </c:pt>
                <c:pt idx="7">
                  <c:v>Security Manager</c:v>
                </c:pt>
                <c:pt idx="8">
                  <c:v>Performing V&amp;V</c:v>
                </c:pt>
                <c:pt idx="9">
                  <c:v>Product development lead</c:v>
                </c:pt>
                <c:pt idx="10">
                  <c:v>Service Management</c:v>
                </c:pt>
                <c:pt idx="11">
                  <c:v>Partner Manager</c:v>
                </c:pt>
                <c:pt idx="12">
                  <c:v>System Integration and Solution Architecture technical customer support</c:v>
                </c:pt>
                <c:pt idx="13">
                  <c:v>NA Team + other cost</c:v>
                </c:pt>
                <c:pt idx="14">
                  <c:v>Series Logistics Concept</c:v>
                </c:pt>
                <c:pt idx="15">
                  <c:v>Data / rev. Eng. and AI</c:v>
                </c:pt>
                <c:pt idx="16">
                  <c:v>C-Hub XC - HW Change for RS-232, K-LINE</c:v>
                </c:pt>
                <c:pt idx="17">
                  <c:v>C-Hub XC New Features</c:v>
                </c:pt>
                <c:pt idx="18">
                  <c:v>Refunding for C-Hub XC ögP</c:v>
                </c:pt>
                <c:pt idx="19">
                  <c:v>BD Support (Cojali &amp; CDK)</c:v>
                </c:pt>
                <c:pt idx="20">
                  <c:v>BD Support (Technical Documentation)</c:v>
                </c:pt>
                <c:pt idx="21">
                  <c:v>Customer integrations</c:v>
                </c:pt>
                <c:pt idx="22">
                  <c:v>Installation App development</c:v>
                </c:pt>
                <c:pt idx="23">
                  <c:v>CVIT Partner Manager</c:v>
                </c:pt>
                <c:pt idx="24">
                  <c:v>Refunding for C-Hub main project ögP</c:v>
                </c:pt>
                <c:pt idx="25">
                  <c:v>BD Support (PjM and Controlling)</c:v>
                </c:pt>
                <c:pt idx="26">
                  <c:v>Support BGSW (Arun)</c:v>
                </c:pt>
                <c:pt idx="27">
                  <c:v>Managing V&amp;V</c:v>
                </c:pt>
                <c:pt idx="28">
                  <c:v>E2E System Team - Requirements Eng. &amp; System development</c:v>
                </c:pt>
                <c:pt idx="29">
                  <c:v>EPQ</c:v>
                </c:pt>
                <c:pt idx="30">
                  <c:v>Operations L1/L2 Incident/Problem/Monitoring</c:v>
                </c:pt>
                <c:pt idx="31">
                  <c:v>Other cost / Lab, HW etc.</c:v>
                </c:pt>
                <c:pt idx="32">
                  <c:v>Technical Docu Cluj</c:v>
                </c:pt>
                <c:pt idx="33">
                  <c:v>Service Operation EU - VI</c:v>
                </c:pt>
                <c:pt idx="34">
                  <c:v>Service Operation NA - VI</c:v>
                </c:pt>
                <c:pt idx="35">
                  <c:v>R&amp;D at Cojali</c:v>
                </c:pt>
                <c:pt idx="36">
                  <c:v>CDK development</c:v>
                </c:pt>
                <c:pt idx="37">
                  <c:v>RM+RD config + Cojali + Pantaris configs</c:v>
                </c:pt>
                <c:pt idx="38">
                  <c:v>System integration and performing V&amp;V</c:v>
                </c:pt>
                <c:pt idx="39">
                  <c:v>MA for vehicle configuration</c:v>
                </c:pt>
                <c:pt idx="40">
                  <c:v>C-Hub XC Series Care_005</c:v>
                </c:pt>
                <c:pt idx="41">
                  <c:v>C-Hub XC Series Care_004</c:v>
                </c:pt>
                <c:pt idx="42">
                  <c:v>VCS SW maintance</c:v>
                </c:pt>
              </c:strCache>
            </c:strRef>
          </c:cat>
          <c:val>
            <c:numRef>
              <c:f>Dashboards!$D$4:$D$52</c:f>
              <c:numCache>
                <c:formatCode>_-* #\ ##0\ [$€-1]_-;\-* #\ ##0\ [$€-1]_-;_-* "-"??\ [$€-1]_-;_-@_-</c:formatCode>
                <c:ptCount val="43"/>
                <c:pt idx="0">
                  <c:v>400000</c:v>
                </c:pt>
                <c:pt idx="1">
                  <c:v>343003.95025112602</c:v>
                </c:pt>
                <c:pt idx="2">
                  <c:v>152000.00000000012</c:v>
                </c:pt>
                <c:pt idx="3">
                  <c:v>141499.99999999988</c:v>
                </c:pt>
                <c:pt idx="4">
                  <c:v>127605</c:v>
                </c:pt>
                <c:pt idx="5">
                  <c:v>30511.359786666697</c:v>
                </c:pt>
                <c:pt idx="6">
                  <c:v>20893.22229333334</c:v>
                </c:pt>
                <c:pt idx="7">
                  <c:v>9818.6681333333363</c:v>
                </c:pt>
                <c:pt idx="8">
                  <c:v>3978.6136800000095</c:v>
                </c:pt>
                <c:pt idx="9">
                  <c:v>2444.0260000000417</c:v>
                </c:pt>
                <c:pt idx="10">
                  <c:v>2278.0224010457605</c:v>
                </c:pt>
                <c:pt idx="11">
                  <c:v>1669.2168807843263</c:v>
                </c:pt>
                <c:pt idx="12">
                  <c:v>74.249999999970896</c:v>
                </c:pt>
                <c:pt idx="13">
                  <c:v>1.4492753660306334E-2</c:v>
                </c:pt>
                <c:pt idx="14">
                  <c:v>0</c:v>
                </c:pt>
                <c:pt idx="15">
                  <c:v>0</c:v>
                </c:pt>
                <c:pt idx="16">
                  <c:v>0</c:v>
                </c:pt>
                <c:pt idx="17">
                  <c:v>0</c:v>
                </c:pt>
                <c:pt idx="18">
                  <c:v>0</c:v>
                </c:pt>
                <c:pt idx="19">
                  <c:v>0</c:v>
                </c:pt>
                <c:pt idx="20">
                  <c:v>0</c:v>
                </c:pt>
                <c:pt idx="21">
                  <c:v>0</c:v>
                </c:pt>
                <c:pt idx="22">
                  <c:v>0</c:v>
                </c:pt>
                <c:pt idx="23">
                  <c:v>0</c:v>
                </c:pt>
                <c:pt idx="24">
                  <c:v>0</c:v>
                </c:pt>
                <c:pt idx="25">
                  <c:v>-0.41800000006332994</c:v>
                </c:pt>
                <c:pt idx="26">
                  <c:v>-236.22971954400418</c:v>
                </c:pt>
                <c:pt idx="27">
                  <c:v>-397.90983999999298</c:v>
                </c:pt>
                <c:pt idx="28">
                  <c:v>-695.60580095199111</c:v>
                </c:pt>
                <c:pt idx="29">
                  <c:v>-1251.7951413799965</c:v>
                </c:pt>
                <c:pt idx="30">
                  <c:v>-2094.6644800000213</c:v>
                </c:pt>
                <c:pt idx="31">
                  <c:v>-3129.633333333335</c:v>
                </c:pt>
                <c:pt idx="32">
                  <c:v>-4006.9002133333342</c:v>
                </c:pt>
                <c:pt idx="33">
                  <c:v>-6250</c:v>
                </c:pt>
                <c:pt idx="34">
                  <c:v>-6250</c:v>
                </c:pt>
                <c:pt idx="35">
                  <c:v>-10000</c:v>
                </c:pt>
                <c:pt idx="36">
                  <c:v>-11750.525546666671</c:v>
                </c:pt>
                <c:pt idx="37">
                  <c:v>-20345.272467618655</c:v>
                </c:pt>
                <c:pt idx="38">
                  <c:v>-24120.228571428583</c:v>
                </c:pt>
                <c:pt idx="39">
                  <c:v>-25864.989999999991</c:v>
                </c:pt>
                <c:pt idx="40">
                  <c:v>-41395.729199999943</c:v>
                </c:pt>
                <c:pt idx="41">
                  <c:v>-119587.97020245995</c:v>
                </c:pt>
                <c:pt idx="42">
                  <c:v>-148000</c:v>
                </c:pt>
              </c:numCache>
            </c:numRef>
          </c:val>
          <c:smooth val="0"/>
          <c:extLst>
            <c:ext xmlns:c16="http://schemas.microsoft.com/office/drawing/2014/chart" uri="{C3380CC4-5D6E-409C-BE32-E72D297353CC}">
              <c16:uniqueId val="{00000004-5FFB-41B2-9978-1A086B9EDB28}"/>
            </c:ext>
          </c:extLst>
        </c:ser>
        <c:dLbls>
          <c:showLegendKey val="0"/>
          <c:showVal val="0"/>
          <c:showCatName val="0"/>
          <c:showSerName val="0"/>
          <c:showPercent val="0"/>
          <c:showBubbleSize val="0"/>
        </c:dLbls>
        <c:marker val="1"/>
        <c:smooth val="0"/>
        <c:axId val="458465759"/>
        <c:axId val="458464799"/>
      </c:lineChart>
      <c:catAx>
        <c:axId val="45846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458464799"/>
        <c:crosses val="autoZero"/>
        <c:auto val="1"/>
        <c:lblAlgn val="ctr"/>
        <c:lblOffset val="100"/>
        <c:noMultiLvlLbl val="0"/>
      </c:catAx>
      <c:valAx>
        <c:axId val="458464799"/>
        <c:scaling>
          <c:orientation val="minMax"/>
        </c:scaling>
        <c:delete val="0"/>
        <c:axPos val="l"/>
        <c:majorGridlines>
          <c:spPr>
            <a:ln w="9525" cap="flat" cmpd="sng" algn="ctr">
              <a:solidFill>
                <a:schemeClr val="tx1">
                  <a:lumMod val="15000"/>
                  <a:lumOff val="85000"/>
                </a:schemeClr>
              </a:solidFill>
              <a:round/>
            </a:ln>
            <a:effectLst/>
          </c:spPr>
        </c:majorGridlines>
        <c:numFmt formatCode="_-* #\ ##0\ [$€-1]_-;\-* #\ ##0\ [$€-1]_-;_-* &quot;-&quot;??\ [$€-1]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458465759"/>
        <c:crosses val="autoZero"/>
        <c:crossBetween val="between"/>
      </c:valAx>
    </c:plotArea>
    <c:legend>
      <c:legendPos val="r"/>
      <c:layout>
        <c:manualLayout>
          <c:xMode val="edge"/>
          <c:yMode val="edge"/>
          <c:x val="0.71416009385618384"/>
          <c:y val="6.3839288775862951E-2"/>
          <c:w val="0.13829461407915308"/>
          <c:h val="0.126788748526580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chart>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[HW2Cloud_Cost_planning_BP2026_for analyze.xlsx]Dashboards!PivotTable2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noFill/>
            <a:round/>
          </a:ln>
          <a:effectLst/>
        </c:spPr>
        <c:marker>
          <c:symbol val="dash"/>
          <c:size val="72"/>
          <c:spPr>
            <a:solidFill>
              <a:schemeClr val="accent1"/>
            </a:solidFill>
            <a:ln w="57150" cap="sq">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fld id="{BDB7DBEF-68F9-4A22-B93F-3C9AEC27FC31}" type="CELLRANGE">
                  <a:rPr lang="en-US"/>
                  <a:pPr>
                    <a:defRPr lang="en-US" sz="1000" b="0" i="0" u="none" strike="noStrike" kern="1200" baseline="0">
                      <a:solidFill>
                        <a:schemeClr val="tx1"/>
                      </a:solidFill>
                      <a:latin typeface="+mn-lt"/>
                      <a:ea typeface="+mn-ea"/>
                      <a:cs typeface="+mn-cs"/>
                    </a:defRPr>
                  </a:pPr>
                  <a:t>[CELLRANGE]</a:t>
                </a:fld>
                <a:endParaRPr lang="bg-BG"/>
              </a:p>
            </c:rich>
          </c:tx>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dLbl>
          <c:idx val="0"/>
          <c:tx>
            <c:rich>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fld id="{D9740F14-585C-4872-981B-0F4156D4A0E3}" type="CELLRANGE">
                  <a:rPr lang="en-US"/>
                  <a:pPr>
                    <a:defRPr lang="en-US" sz="1000" b="0" i="0" u="none" strike="noStrike" kern="1200" baseline="0">
                      <a:solidFill>
                        <a:schemeClr val="tx1"/>
                      </a:solidFill>
                      <a:latin typeface="+mn-lt"/>
                      <a:ea typeface="+mn-ea"/>
                      <a:cs typeface="+mn-cs"/>
                    </a:defRPr>
                  </a:pPr>
                  <a:t>[CELLRANGE]</a:t>
                </a:fld>
                <a:endParaRPr lang="bg-BG"/>
              </a:p>
            </c:rich>
          </c:tx>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2"/>
          </a:solidFill>
          <a:ln w="28575" cap="rnd">
            <a:noFill/>
            <a:round/>
          </a:ln>
          <a:effectLst/>
        </c:spPr>
        <c:marker>
          <c:symbol val="none"/>
        </c:marker>
        <c:dLbl>
          <c:idx val="0"/>
          <c:tx>
            <c:rich>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fld id="{1BEBF73D-C048-4E1F-BF4A-77969D4160D0}" type="CELLRANGE">
                  <a:rPr lang="en-US"/>
                  <a:pPr>
                    <a:defRPr/>
                  </a:pPr>
                  <a:t>[CELLRANGE]</a:t>
                </a:fld>
                <a:endParaRPr lang="bg-BG"/>
              </a:p>
            </c:rich>
          </c:tx>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2"/>
          </a:solidFill>
          <a:ln w="28575" cap="rnd">
            <a:noFill/>
            <a:round/>
          </a:ln>
          <a:effectLst/>
        </c:spPr>
        <c:marker>
          <c:symbol val="none"/>
        </c:marker>
        <c:dLbl>
          <c:idx val="0"/>
          <c:tx>
            <c:rich>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fld id="{C3F2585A-2D38-4A7D-B7F8-6B755AE3C841}" type="CELLRANGE">
                  <a:rPr lang="bg-BG"/>
                  <a:pPr>
                    <a:defRPr/>
                  </a:pPr>
                  <a:t>[CELLRANGE]</a:t>
                </a:fld>
                <a:endParaRPr lang="bg-BG"/>
              </a:p>
            </c:rich>
          </c:tx>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2"/>
          </a:solidFill>
          <a:ln w="28575" cap="rnd">
            <a:noFill/>
            <a:round/>
          </a:ln>
          <a:effectLst/>
        </c:spPr>
        <c:marker>
          <c:symbol val="none"/>
        </c:marker>
        <c:dLbl>
          <c:idx val="0"/>
          <c:tx>
            <c:rich>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fld id="{D4B2AD13-AD63-45E6-8A87-1859AC3177A7}" type="CELLRANGE">
                  <a:rPr lang="bg-BG"/>
                  <a:pPr>
                    <a:defRPr/>
                  </a:pPr>
                  <a:t>[CELLRANGE]</a:t>
                </a:fld>
                <a:endParaRPr lang="bg-BG"/>
              </a:p>
            </c:rich>
          </c:tx>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2"/>
          </a:solidFill>
          <a:ln w="28575" cap="rnd">
            <a:noFill/>
            <a:round/>
          </a:ln>
          <a:effectLst/>
        </c:spPr>
        <c:marker>
          <c:symbol val="none"/>
        </c:marker>
        <c:dLbl>
          <c:idx val="0"/>
          <c:tx>
            <c:rich>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fld id="{98259B58-3E65-428F-BD60-1BFAB5434870}" type="CELLRANGE">
                  <a:rPr lang="bg-BG"/>
                  <a:pPr>
                    <a:defRPr/>
                  </a:pPr>
                  <a:t>[CELLRANGE]</a:t>
                </a:fld>
                <a:endParaRPr lang="bg-BG"/>
              </a:p>
            </c:rich>
          </c:tx>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2"/>
          </a:solidFill>
          <a:ln w="28575" cap="rnd">
            <a:noFill/>
            <a:round/>
          </a:ln>
          <a:effectLst/>
        </c:spPr>
        <c:marker>
          <c:symbol val="none"/>
        </c:marker>
        <c:dLbl>
          <c:idx val="0"/>
          <c:tx>
            <c:rich>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fld id="{953DB234-1E63-493C-BF4E-BCA2F4A6AEEB}" type="CELLRANGE">
                  <a:rPr lang="bg-BG"/>
                  <a:pPr>
                    <a:defRPr/>
                  </a:pPr>
                  <a:t>[CELLRANGE]</a:t>
                </a:fld>
                <a:endParaRPr lang="bg-BG"/>
              </a:p>
            </c:rich>
          </c:tx>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fld id="{CEC9819B-A92C-42D1-AF04-FCBA42C51920}" type="CELLRANGE">
                  <a:rPr lang="en-US"/>
                  <a:pPr>
                    <a:defRPr lang="en-US" sz="1000" b="0" i="0" u="none" strike="noStrike" kern="1200" baseline="0">
                      <a:solidFill>
                        <a:schemeClr val="tx1"/>
                      </a:solidFill>
                      <a:latin typeface="+mn-lt"/>
                      <a:ea typeface="+mn-ea"/>
                      <a:cs typeface="+mn-cs"/>
                    </a:defRPr>
                  </a:pPr>
                  <a:t>[CELLRANGE]</a:t>
                </a:fld>
                <a:endParaRPr lang="bg-BG"/>
              </a:p>
            </c:rich>
          </c:tx>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64401403104237"/>
          <c:y val="0.14249781277340332"/>
          <c:w val="0.82771868723528419"/>
          <c:h val="0.75047317002041414"/>
        </c:manualLayout>
      </c:layout>
      <c:barChart>
        <c:barDir val="col"/>
        <c:grouping val="clustered"/>
        <c:varyColors val="0"/>
        <c:ser>
          <c:idx val="0"/>
          <c:order val="0"/>
          <c:tx>
            <c:strRef>
              <c:f>Dashboards!$D$61:$D$65</c:f>
              <c:strCache>
                <c:ptCount val="1"/>
                <c:pt idx="0">
                  <c:v>Sum of CF05 C-Hub PF</c:v>
                </c:pt>
              </c:strCache>
            </c:strRef>
          </c:tx>
          <c:spPr>
            <a:solidFill>
              <a:schemeClr val="accent1"/>
            </a:solidFill>
            <a:ln>
              <a:noFill/>
            </a:ln>
            <a:effectLst/>
          </c:spPr>
          <c:invertIfNegative val="0"/>
          <c:cat>
            <c:multiLvlStrRef>
              <c:f>Dashboards!$D$61:$D$65</c:f>
              <c:multiLvlStrCache>
                <c:ptCount val="5"/>
                <c:lvl>
                  <c:pt idx="0">
                    <c:v>C-Hub XC - HW Change for RS-232, K-LINE</c:v>
                  </c:pt>
                  <c:pt idx="1">
                    <c:v>C-Hub XC New Features</c:v>
                  </c:pt>
                  <c:pt idx="2">
                    <c:v>C-Hub XC Series Care_004</c:v>
                  </c:pt>
                  <c:pt idx="3">
                    <c:v>C-Hub XC Series Care_005</c:v>
                  </c:pt>
                  <c:pt idx="4">
                    <c:v>Stretch target XC</c:v>
                  </c:pt>
                </c:lvl>
                <c:lvl>
                  <c:pt idx="0">
                    <c:v>XC</c:v>
                  </c:pt>
                </c:lvl>
              </c:multiLvlStrCache>
            </c:multiLvlStrRef>
          </c:cat>
          <c:val>
            <c:numRef>
              <c:f>Dashboards!$D$61:$D$65</c:f>
              <c:numCache>
                <c:formatCode>_-* #\ ##0\ [$€-1]_-;\-* #\ ##0\ [$€-1]_-;_-* "-"??\ [$€-1]_-;_-@_-</c:formatCode>
                <c:ptCount val="5"/>
                <c:pt idx="0">
                  <c:v>0</c:v>
                </c:pt>
                <c:pt idx="1">
                  <c:v>0</c:v>
                </c:pt>
                <c:pt idx="2">
                  <c:v>1095000</c:v>
                </c:pt>
                <c:pt idx="3">
                  <c:v>611000</c:v>
                </c:pt>
                <c:pt idx="4">
                  <c:v>-343003.95025112602</c:v>
                </c:pt>
              </c:numCache>
            </c:numRef>
          </c:val>
          <c:extLst>
            <c:ext xmlns:c16="http://schemas.microsoft.com/office/drawing/2014/chart" uri="{C3380CC4-5D6E-409C-BE32-E72D297353CC}">
              <c16:uniqueId val="{00000000-4B50-4CBE-844B-069DB8A5E43B}"/>
            </c:ext>
          </c:extLst>
        </c:ser>
        <c:ser>
          <c:idx val="1"/>
          <c:order val="1"/>
          <c:tx>
            <c:strRef>
              <c:f>Dashboards!$D$61:$D$65</c:f>
              <c:strCache>
                <c:ptCount val="1"/>
                <c:pt idx="0">
                  <c:v>Prognosis (based on YTD actuals)</c:v>
                </c:pt>
              </c:strCache>
            </c:strRef>
          </c:tx>
          <c:spPr>
            <a:solidFill>
              <a:schemeClr val="accent2"/>
            </a:solidFill>
            <a:ln>
              <a:noFill/>
            </a:ln>
            <a:effectLst/>
          </c:spPr>
          <c:invertIfNegative val="0"/>
          <c:dPt>
            <c:idx val="0"/>
            <c:invertIfNegative val="0"/>
            <c:bubble3D val="0"/>
            <c:spPr>
              <a:solidFill>
                <a:schemeClr val="accent2"/>
              </a:solidFill>
              <a:ln w="28575" cap="rnd">
                <a:noFill/>
                <a:round/>
              </a:ln>
              <a:effectLst/>
            </c:spPr>
            <c:extLst>
              <c:ext xmlns:c16="http://schemas.microsoft.com/office/drawing/2014/chart" uri="{C3380CC4-5D6E-409C-BE32-E72D297353CC}">
                <c16:uniqueId val="{00000000-D06E-46CE-841F-E8EC04969EF7}"/>
              </c:ext>
            </c:extLst>
          </c:dPt>
          <c:dPt>
            <c:idx val="1"/>
            <c:invertIfNegative val="0"/>
            <c:bubble3D val="0"/>
            <c:spPr>
              <a:solidFill>
                <a:schemeClr val="accent2"/>
              </a:solidFill>
              <a:ln w="28575" cap="rnd">
                <a:noFill/>
                <a:round/>
              </a:ln>
              <a:effectLst/>
            </c:spPr>
            <c:extLst>
              <c:ext xmlns:c16="http://schemas.microsoft.com/office/drawing/2014/chart" uri="{C3380CC4-5D6E-409C-BE32-E72D297353CC}">
                <c16:uniqueId val="{00000001-D06E-46CE-841F-E8EC04969EF7}"/>
              </c:ext>
            </c:extLst>
          </c:dPt>
          <c:dPt>
            <c:idx val="2"/>
            <c:invertIfNegative val="0"/>
            <c:bubble3D val="0"/>
            <c:spPr>
              <a:solidFill>
                <a:schemeClr val="accent2"/>
              </a:solidFill>
              <a:ln w="28575" cap="rnd">
                <a:noFill/>
                <a:round/>
              </a:ln>
              <a:effectLst/>
            </c:spPr>
            <c:extLst>
              <c:ext xmlns:c16="http://schemas.microsoft.com/office/drawing/2014/chart" uri="{C3380CC4-5D6E-409C-BE32-E72D297353CC}">
                <c16:uniqueId val="{00000002-D06E-46CE-841F-E8EC04969EF7}"/>
              </c:ext>
            </c:extLst>
          </c:dPt>
          <c:dPt>
            <c:idx val="3"/>
            <c:invertIfNegative val="0"/>
            <c:bubble3D val="0"/>
            <c:spPr>
              <a:solidFill>
                <a:schemeClr val="accent2"/>
              </a:solidFill>
              <a:ln w="28575" cap="rnd">
                <a:noFill/>
                <a:round/>
              </a:ln>
              <a:effectLst/>
            </c:spPr>
            <c:extLst>
              <c:ext xmlns:c16="http://schemas.microsoft.com/office/drawing/2014/chart" uri="{C3380CC4-5D6E-409C-BE32-E72D297353CC}">
                <c16:uniqueId val="{00000003-D06E-46CE-841F-E8EC04969EF7}"/>
              </c:ext>
            </c:extLst>
          </c:dPt>
          <c:dPt>
            <c:idx val="4"/>
            <c:invertIfNegative val="0"/>
            <c:bubble3D val="0"/>
            <c:spPr>
              <a:solidFill>
                <a:schemeClr val="accent2"/>
              </a:solidFill>
              <a:ln w="28575" cap="rnd">
                <a:noFill/>
                <a:round/>
              </a:ln>
              <a:effectLst/>
            </c:spPr>
            <c:extLst>
              <c:ext xmlns:c16="http://schemas.microsoft.com/office/drawing/2014/chart" uri="{C3380CC4-5D6E-409C-BE32-E72D297353CC}">
                <c16:uniqueId val="{00000004-D06E-46CE-841F-E8EC04969EF7}"/>
              </c:ext>
            </c:extLst>
          </c:dPt>
          <c:dLbls>
            <c:dLbl>
              <c:idx val="0"/>
              <c:tx>
                <c:rich>
                  <a:bodyPr/>
                  <a:lstStyle/>
                  <a:p>
                    <a:fld id="{1BEBF73D-C048-4E1F-BF4A-77969D4160D0}" type="CELLRANGE">
                      <a:rPr lang="en-US"/>
                      <a:pPr/>
                      <a:t>[CELLRANGE]</a:t>
                    </a:fld>
                    <a:endParaRPr lang="bg-B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06E-46CE-841F-E8EC04969EF7}"/>
                </c:ext>
              </c:extLst>
            </c:dLbl>
            <c:dLbl>
              <c:idx val="1"/>
              <c:tx>
                <c:rich>
                  <a:bodyPr/>
                  <a:lstStyle/>
                  <a:p>
                    <a:fld id="{C3F2585A-2D38-4A7D-B7F8-6B755AE3C841}" type="CELLRANGE">
                      <a:rPr lang="bg-BG"/>
                      <a:pPr/>
                      <a:t>[CELLRANGE]</a:t>
                    </a:fld>
                    <a:endParaRPr lang="bg-B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06E-46CE-841F-E8EC04969EF7}"/>
                </c:ext>
              </c:extLst>
            </c:dLbl>
            <c:dLbl>
              <c:idx val="2"/>
              <c:tx>
                <c:rich>
                  <a:bodyPr/>
                  <a:lstStyle/>
                  <a:p>
                    <a:fld id="{D4B2AD13-AD63-45E6-8A87-1859AC3177A7}" type="CELLRANGE">
                      <a:rPr lang="bg-BG"/>
                      <a:pPr/>
                      <a:t>[CELLRANGE]</a:t>
                    </a:fld>
                    <a:endParaRPr lang="bg-B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06E-46CE-841F-E8EC04969EF7}"/>
                </c:ext>
              </c:extLst>
            </c:dLbl>
            <c:dLbl>
              <c:idx val="3"/>
              <c:tx>
                <c:rich>
                  <a:bodyPr/>
                  <a:lstStyle/>
                  <a:p>
                    <a:fld id="{98259B58-3E65-428F-BD60-1BFAB5434870}" type="CELLRANGE">
                      <a:rPr lang="bg-BG"/>
                      <a:pPr/>
                      <a:t>[CELLRANGE]</a:t>
                    </a:fld>
                    <a:endParaRPr lang="bg-B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06E-46CE-841F-E8EC04969EF7}"/>
                </c:ext>
              </c:extLst>
            </c:dLbl>
            <c:dLbl>
              <c:idx val="4"/>
              <c:tx>
                <c:rich>
                  <a:bodyPr/>
                  <a:lstStyle/>
                  <a:p>
                    <a:fld id="{953DB234-1E63-493C-BF4E-BCA2F4A6AEEB}" type="CELLRANGE">
                      <a:rPr lang="bg-BG"/>
                      <a:pPr/>
                      <a:t>[CELLRANGE]</a:t>
                    </a:fld>
                    <a:endParaRPr lang="bg-B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06E-46CE-841F-E8EC04969EF7}"/>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bg-BG"/>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multiLvlStrRef>
              <c:f>Dashboards!$D$61:$D$65</c:f>
              <c:multiLvlStrCache>
                <c:ptCount val="5"/>
                <c:lvl>
                  <c:pt idx="0">
                    <c:v>C-Hub XC - HW Change for RS-232, K-LINE</c:v>
                  </c:pt>
                  <c:pt idx="1">
                    <c:v>C-Hub XC New Features</c:v>
                  </c:pt>
                  <c:pt idx="2">
                    <c:v>C-Hub XC Series Care_004</c:v>
                  </c:pt>
                  <c:pt idx="3">
                    <c:v>C-Hub XC Series Care_005</c:v>
                  </c:pt>
                  <c:pt idx="4">
                    <c:v>Stretch target XC</c:v>
                  </c:pt>
                </c:lvl>
                <c:lvl>
                  <c:pt idx="0">
                    <c:v>XC</c:v>
                  </c:pt>
                </c:lvl>
              </c:multiLvlStrCache>
            </c:multiLvlStrRef>
          </c:cat>
          <c:val>
            <c:numRef>
              <c:f>Dashboards!$D$61:$D$65</c:f>
              <c:numCache>
                <c:formatCode>_-* #\ ##0\ [$€-1]_-;\-* #\ ##0\ [$€-1]_-;_-* "-"??\ [$€-1]_-;_-@_-</c:formatCode>
                <c:ptCount val="5"/>
                <c:pt idx="0">
                  <c:v>0</c:v>
                </c:pt>
                <c:pt idx="1">
                  <c:v>0</c:v>
                </c:pt>
                <c:pt idx="2">
                  <c:v>975412.02979754005</c:v>
                </c:pt>
                <c:pt idx="3">
                  <c:v>569604.27080000006</c:v>
                </c:pt>
                <c:pt idx="4">
                  <c:v>0</c:v>
                </c:pt>
              </c:numCache>
            </c:numRef>
          </c:val>
          <c:extLst>
            <c:ext xmlns:c15="http://schemas.microsoft.com/office/drawing/2012/chart" uri="{02D57815-91ED-43cb-92C2-25804820EDAC}">
              <c15:datalabelsRange>
                <c15:f>Dashboards!$D$61:$D$65</c15:f>
                <c15:dlblRangeCache>
                  <c:ptCount val="5"/>
                  <c:pt idx="0">
                    <c:v> -   € </c:v>
                  </c:pt>
                  <c:pt idx="1">
                    <c:v> -   € </c:v>
                  </c:pt>
                  <c:pt idx="2">
                    <c:v>-119 588 € </c:v>
                  </c:pt>
                  <c:pt idx="3">
                    <c:v>-41 396 € </c:v>
                  </c:pt>
                  <c:pt idx="4">
                    <c:v> 343 004 € </c:v>
                  </c:pt>
                </c15:dlblRangeCache>
              </c15:datalabelsRange>
            </c:ext>
            <c:ext xmlns:c16="http://schemas.microsoft.com/office/drawing/2014/chart" uri="{C3380CC4-5D6E-409C-BE32-E72D297353CC}">
              <c16:uniqueId val="{00000001-4B50-4CBE-844B-069DB8A5E43B}"/>
            </c:ext>
          </c:extLst>
        </c:ser>
        <c:ser>
          <c:idx val="2"/>
          <c:order val="2"/>
          <c:tx>
            <c:strRef>
              <c:f>Dashboards!$D$61:$D$65</c:f>
              <c:strCache>
                <c:ptCount val="1"/>
                <c:pt idx="0">
                  <c:v>Gap (Porgnosis vs. Plan)</c:v>
                </c:pt>
              </c:strCache>
            </c:strRef>
          </c:tx>
          <c:spPr>
            <a:solidFill>
              <a:schemeClr val="accent3"/>
            </a:solidFill>
            <a:ln w="25400">
              <a:noFill/>
            </a:ln>
            <a:effectLst/>
          </c:spPr>
          <c:invertIfNegative val="0"/>
          <c:cat>
            <c:multiLvlStrRef>
              <c:f>Dashboards!$D$61:$D$65</c:f>
              <c:multiLvlStrCache>
                <c:ptCount val="5"/>
                <c:lvl>
                  <c:pt idx="0">
                    <c:v>C-Hub XC - HW Change for RS-232, K-LINE</c:v>
                  </c:pt>
                  <c:pt idx="1">
                    <c:v>C-Hub XC New Features</c:v>
                  </c:pt>
                  <c:pt idx="2">
                    <c:v>C-Hub XC Series Care_004</c:v>
                  </c:pt>
                  <c:pt idx="3">
                    <c:v>C-Hub XC Series Care_005</c:v>
                  </c:pt>
                  <c:pt idx="4">
                    <c:v>Stretch target XC</c:v>
                  </c:pt>
                </c:lvl>
                <c:lvl>
                  <c:pt idx="0">
                    <c:v>XC</c:v>
                  </c:pt>
                </c:lvl>
              </c:multiLvlStrCache>
            </c:multiLvlStrRef>
          </c:cat>
          <c:val>
            <c:numRef>
              <c:f>Dashboards!$D$61:$D$65</c:f>
              <c:numCache>
                <c:formatCode>_-* #\ ##0\ [$€-1]_-;\-* #\ ##0\ [$€-1]_-;_-* "-"??\ [$€-1]_-;_-@_-</c:formatCode>
                <c:ptCount val="5"/>
                <c:pt idx="0">
                  <c:v>0</c:v>
                </c:pt>
                <c:pt idx="1">
                  <c:v>0</c:v>
                </c:pt>
                <c:pt idx="2">
                  <c:v>-119587.97020245995</c:v>
                </c:pt>
                <c:pt idx="3">
                  <c:v>-41395.729199999943</c:v>
                </c:pt>
                <c:pt idx="4">
                  <c:v>343003.95025112602</c:v>
                </c:pt>
              </c:numCache>
            </c:numRef>
          </c:val>
          <c:extLst>
            <c:ext xmlns:c16="http://schemas.microsoft.com/office/drawing/2014/chart" uri="{C3380CC4-5D6E-409C-BE32-E72D297353CC}">
              <c16:uniqueId val="{00000002-4B50-4CBE-844B-069DB8A5E43B}"/>
            </c:ext>
          </c:extLst>
        </c:ser>
        <c:dLbls>
          <c:showLegendKey val="0"/>
          <c:showVal val="0"/>
          <c:showCatName val="0"/>
          <c:showSerName val="0"/>
          <c:showPercent val="0"/>
          <c:showBubbleSize val="0"/>
        </c:dLbls>
        <c:gapWidth val="182"/>
        <c:axId val="1721560175"/>
        <c:axId val="1721576975"/>
      </c:barChart>
      <c:catAx>
        <c:axId val="172156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bg-BG"/>
          </a:p>
        </c:txPr>
        <c:crossAx val="1721576975"/>
        <c:crosses val="autoZero"/>
        <c:auto val="1"/>
        <c:lblAlgn val="ctr"/>
        <c:lblOffset val="100"/>
        <c:noMultiLvlLbl val="0"/>
      </c:catAx>
      <c:valAx>
        <c:axId val="1721576975"/>
        <c:scaling>
          <c:orientation val="minMax"/>
        </c:scaling>
        <c:delete val="0"/>
        <c:axPos val="l"/>
        <c:majorGridlines>
          <c:spPr>
            <a:ln w="9525" cap="flat" cmpd="sng" algn="ctr">
              <a:solidFill>
                <a:schemeClr val="tx1">
                  <a:lumMod val="15000"/>
                  <a:lumOff val="85000"/>
                </a:schemeClr>
              </a:solidFill>
              <a:round/>
            </a:ln>
            <a:effectLst/>
          </c:spPr>
        </c:majorGridlines>
        <c:numFmt formatCode="_-* #\ ##0\ [$€-1]_-;\-* #\ ##0\ [$€-1]_-;_-* &quot;-&quot;??\ [$€-1]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bg-BG"/>
          </a:p>
        </c:txPr>
        <c:crossAx val="1721560175"/>
        <c:crosses val="autoZero"/>
        <c:crossBetween val="between"/>
      </c:valAx>
      <c:spPr>
        <a:noFill/>
        <a:ln>
          <a:noFill/>
        </a:ln>
        <a:effectLst/>
      </c:spPr>
    </c:plotArea>
    <c:legend>
      <c:legendPos val="r"/>
      <c:legendEntry>
        <c:idx val="2"/>
        <c:delete val="1"/>
      </c:legendEntry>
      <c:layout>
        <c:manualLayout>
          <c:xMode val="edge"/>
          <c:yMode val="edge"/>
          <c:x val="0.80324302701221595"/>
          <c:y val="4.3112423447069115E-2"/>
          <c:w val="0.19469968206918178"/>
          <c:h val="0.17398660654085718"/>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[HW2Cloud_Cost_planning_BP2026_for analyze.xlsx]Dashboards!PivotTable3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no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41B62D-770A-452B-B51A-08CB72160497}" type="CELLRANGE">
                  <a:rPr lang="en-US"/>
                  <a:pPr>
                    <a:defRPr/>
                  </a:pPr>
                  <a:t>[CELLRANGE]</a:t>
                </a:fld>
                <a:endParaRPr lang="bg-B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2"/>
          </a:solidFill>
          <a:ln w="28575" cap="rnd">
            <a:no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4787CD-5479-498D-A86F-98A90BC070AA}" type="CELLRANGE">
                  <a:rPr lang="en-US"/>
                  <a:pPr>
                    <a:defRPr/>
                  </a:pPr>
                  <a:t>[CELLRANGE]</a:t>
                </a:fld>
                <a:endParaRPr lang="bg-B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chemeClr val="accent2"/>
          </a:solidFill>
          <a:ln w="28575" cap="rnd">
            <a:no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AAE360-3453-4504-863E-13D8338E222D}" type="CELLRANGE">
                  <a:rPr lang="en-US"/>
                  <a:pPr>
                    <a:defRPr/>
                  </a:pPr>
                  <a:t>[CELLRANGE]</a:t>
                </a:fld>
                <a:endParaRPr lang="bg-B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Dashboards!$D$77:$D$79</c:f>
              <c:strCache>
                <c:ptCount val="1"/>
                <c:pt idx="0">
                  <c:v>Sum of CF05 C-Hub PF</c:v>
                </c:pt>
              </c:strCache>
            </c:strRef>
          </c:tx>
          <c:spPr>
            <a:solidFill>
              <a:schemeClr val="accent1"/>
            </a:solidFill>
            <a:ln>
              <a:noFill/>
            </a:ln>
            <a:effectLst/>
          </c:spPr>
          <c:invertIfNegative val="0"/>
          <c:cat>
            <c:multiLvlStrRef>
              <c:f>Dashboards!$D$77:$D$79</c:f>
              <c:multiLvlStrCache>
                <c:ptCount val="3"/>
                <c:lvl>
                  <c:pt idx="0">
                    <c:v>PO for Cojali</c:v>
                  </c:pt>
                  <c:pt idx="1">
                    <c:v>VCS R&amp;D</c:v>
                  </c:pt>
                  <c:pt idx="2">
                    <c:v>VCS SW maintance</c:v>
                  </c:pt>
                </c:lvl>
                <c:lvl>
                  <c:pt idx="0">
                    <c:v>VCS</c:v>
                  </c:pt>
                </c:lvl>
              </c:multiLvlStrCache>
            </c:multiLvlStrRef>
          </c:cat>
          <c:val>
            <c:numRef>
              <c:f>Dashboards!$D$77:$D$79</c:f>
              <c:numCache>
                <c:formatCode>_-* #\ ##0\ [$€-1]_-;\-* #\ ##0\ [$€-1]_-;_-* "-"??\ [$€-1]_-;_-@_-</c:formatCode>
                <c:ptCount val="3"/>
                <c:pt idx="0">
                  <c:v>180000</c:v>
                </c:pt>
                <c:pt idx="1">
                  <c:v>682500</c:v>
                </c:pt>
                <c:pt idx="2">
                  <c:v>370000</c:v>
                </c:pt>
              </c:numCache>
            </c:numRef>
          </c:val>
          <c:extLst>
            <c:ext xmlns:c16="http://schemas.microsoft.com/office/drawing/2014/chart" uri="{C3380CC4-5D6E-409C-BE32-E72D297353CC}">
              <c16:uniqueId val="{00000000-4BD3-4CCF-A90F-955787755C08}"/>
            </c:ext>
          </c:extLst>
        </c:ser>
        <c:ser>
          <c:idx val="1"/>
          <c:order val="1"/>
          <c:tx>
            <c:strRef>
              <c:f>Dashboards!$D$77:$D$79</c:f>
              <c:strCache>
                <c:ptCount val="1"/>
                <c:pt idx="0">
                  <c:v>Prognosis (based on YTD actuals)</c:v>
                </c:pt>
              </c:strCache>
            </c:strRef>
          </c:tx>
          <c:spPr>
            <a:solidFill>
              <a:schemeClr val="accent2"/>
            </a:solidFill>
            <a:ln>
              <a:noFill/>
            </a:ln>
            <a:effectLst/>
          </c:spPr>
          <c:invertIfNegative val="0"/>
          <c:dPt>
            <c:idx val="0"/>
            <c:invertIfNegative val="0"/>
            <c:bubble3D val="0"/>
            <c:spPr>
              <a:solidFill>
                <a:schemeClr val="accent2"/>
              </a:solidFill>
              <a:ln w="28575" cap="rnd">
                <a:noFill/>
                <a:round/>
              </a:ln>
              <a:effectLst/>
            </c:spPr>
            <c:extLst>
              <c:ext xmlns:c16="http://schemas.microsoft.com/office/drawing/2014/chart" uri="{C3380CC4-5D6E-409C-BE32-E72D297353CC}">
                <c16:uniqueId val="{00000004-4BD3-4CCF-A90F-955787755C08}"/>
              </c:ext>
            </c:extLst>
          </c:dPt>
          <c:dPt>
            <c:idx val="1"/>
            <c:invertIfNegative val="0"/>
            <c:bubble3D val="0"/>
            <c:spPr>
              <a:solidFill>
                <a:schemeClr val="accent2"/>
              </a:solidFill>
              <a:ln w="28575" cap="rnd">
                <a:noFill/>
                <a:round/>
              </a:ln>
              <a:effectLst/>
            </c:spPr>
            <c:extLst>
              <c:ext xmlns:c16="http://schemas.microsoft.com/office/drawing/2014/chart" uri="{C3380CC4-5D6E-409C-BE32-E72D297353CC}">
                <c16:uniqueId val="{00000005-4BD3-4CCF-A90F-955787755C08}"/>
              </c:ext>
            </c:extLst>
          </c:dPt>
          <c:dPt>
            <c:idx val="2"/>
            <c:invertIfNegative val="0"/>
            <c:bubble3D val="0"/>
            <c:spPr>
              <a:solidFill>
                <a:schemeClr val="accent2"/>
              </a:solidFill>
              <a:ln w="28575" cap="rnd">
                <a:noFill/>
                <a:round/>
              </a:ln>
              <a:effectLst/>
            </c:spPr>
            <c:extLst>
              <c:ext xmlns:c16="http://schemas.microsoft.com/office/drawing/2014/chart" uri="{C3380CC4-5D6E-409C-BE32-E72D297353CC}">
                <c16:uniqueId val="{00000006-4BD3-4CCF-A90F-955787755C08}"/>
              </c:ext>
            </c:extLst>
          </c:dPt>
          <c:dLbls>
            <c:dLbl>
              <c:idx val="0"/>
              <c:tx>
                <c:rich>
                  <a:bodyPr/>
                  <a:lstStyle/>
                  <a:p>
                    <a:fld id="{2741B62D-770A-452B-B51A-08CB72160497}" type="CELLRANGE">
                      <a:rPr lang="en-US"/>
                      <a:pPr/>
                      <a:t>[CELLRANGE]</a:t>
                    </a:fld>
                    <a:endParaRPr lang="bg-B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BD3-4CCF-A90F-955787755C08}"/>
                </c:ext>
              </c:extLst>
            </c:dLbl>
            <c:dLbl>
              <c:idx val="1"/>
              <c:tx>
                <c:rich>
                  <a:bodyPr/>
                  <a:lstStyle/>
                  <a:p>
                    <a:fld id="{9F4787CD-5479-498D-A86F-98A90BC070AA}" type="CELLRANGE">
                      <a:rPr lang="en-US"/>
                      <a:pPr/>
                      <a:t>[CELLRANGE]</a:t>
                    </a:fld>
                    <a:endParaRPr lang="bg-B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BD3-4CCF-A90F-955787755C08}"/>
                </c:ext>
              </c:extLst>
            </c:dLbl>
            <c:dLbl>
              <c:idx val="2"/>
              <c:tx>
                <c:rich>
                  <a:bodyPr/>
                  <a:lstStyle/>
                  <a:p>
                    <a:fld id="{B2AAE360-3453-4504-863E-13D8338E222D}" type="CELLRANGE">
                      <a:rPr lang="en-US"/>
                      <a:pPr/>
                      <a:t>[CELLRANGE]</a:t>
                    </a:fld>
                    <a:endParaRPr lang="bg-B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BD3-4CCF-A90F-955787755C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multiLvlStrRef>
              <c:f>Dashboards!$D$77:$D$79</c:f>
              <c:multiLvlStrCache>
                <c:ptCount val="3"/>
                <c:lvl>
                  <c:pt idx="0">
                    <c:v>PO for Cojali</c:v>
                  </c:pt>
                  <c:pt idx="1">
                    <c:v>VCS R&amp;D</c:v>
                  </c:pt>
                  <c:pt idx="2">
                    <c:v>VCS SW maintance</c:v>
                  </c:pt>
                </c:lvl>
                <c:lvl>
                  <c:pt idx="0">
                    <c:v>VCS</c:v>
                  </c:pt>
                </c:lvl>
              </c:multiLvlStrCache>
            </c:multiLvlStrRef>
          </c:cat>
          <c:val>
            <c:numRef>
              <c:f>Dashboards!$D$77:$D$79</c:f>
              <c:numCache>
                <c:formatCode>_-* #\ ##0\ [$€-1]_-;\-* #\ ##0\ [$€-1]_-;_-* "-"??\ [$€-1]_-;_-@_-</c:formatCode>
                <c:ptCount val="3"/>
                <c:pt idx="0">
                  <c:v>332000.00000000012</c:v>
                </c:pt>
                <c:pt idx="1">
                  <c:v>823999.99999999988</c:v>
                </c:pt>
                <c:pt idx="2">
                  <c:v>222000</c:v>
                </c:pt>
              </c:numCache>
            </c:numRef>
          </c:val>
          <c:extLst>
            <c:ext xmlns:c15="http://schemas.microsoft.com/office/drawing/2012/chart" uri="{02D57815-91ED-43cb-92C2-25804820EDAC}">
              <c15:datalabelsRange>
                <c15:f>Dashboards!$D$77:$D$79</c15:f>
                <c15:dlblRangeCache>
                  <c:ptCount val="3"/>
                  <c:pt idx="0">
                    <c:v> 152 000 € </c:v>
                  </c:pt>
                  <c:pt idx="1">
                    <c:v> 141 500 € </c:v>
                  </c:pt>
                  <c:pt idx="2">
                    <c:v>-148 000 € </c:v>
                  </c:pt>
                </c15:dlblRangeCache>
              </c15:datalabelsRange>
            </c:ext>
            <c:ext xmlns:c16="http://schemas.microsoft.com/office/drawing/2014/chart" uri="{C3380CC4-5D6E-409C-BE32-E72D297353CC}">
              <c16:uniqueId val="{00000001-4BD3-4CCF-A90F-955787755C08}"/>
            </c:ext>
          </c:extLst>
        </c:ser>
        <c:ser>
          <c:idx val="2"/>
          <c:order val="2"/>
          <c:tx>
            <c:strRef>
              <c:f>Dashboards!$D$77:$D$79</c:f>
              <c:strCache>
                <c:ptCount val="1"/>
                <c:pt idx="0">
                  <c:v>Gap (Porgnosis vs. Plan)</c:v>
                </c:pt>
              </c:strCache>
            </c:strRef>
          </c:tx>
          <c:spPr>
            <a:solidFill>
              <a:schemeClr val="accent3"/>
            </a:solidFill>
            <a:ln>
              <a:noFill/>
            </a:ln>
            <a:effectLst/>
          </c:spPr>
          <c:invertIfNegative val="0"/>
          <c:cat>
            <c:multiLvlStrRef>
              <c:f>Dashboards!$D$77:$D$79</c:f>
              <c:multiLvlStrCache>
                <c:ptCount val="3"/>
                <c:lvl>
                  <c:pt idx="0">
                    <c:v>PO for Cojali</c:v>
                  </c:pt>
                  <c:pt idx="1">
                    <c:v>VCS R&amp;D</c:v>
                  </c:pt>
                  <c:pt idx="2">
                    <c:v>VCS SW maintance</c:v>
                  </c:pt>
                </c:lvl>
                <c:lvl>
                  <c:pt idx="0">
                    <c:v>VCS</c:v>
                  </c:pt>
                </c:lvl>
              </c:multiLvlStrCache>
            </c:multiLvlStrRef>
          </c:cat>
          <c:val>
            <c:numRef>
              <c:f>Dashboards!$D$77:$D$79</c:f>
              <c:numCache>
                <c:formatCode>_-* #\ ##0\ [$€-1]_-;\-* #\ ##0\ [$€-1]_-;_-* "-"??\ [$€-1]_-;_-@_-</c:formatCode>
                <c:ptCount val="3"/>
                <c:pt idx="0">
                  <c:v>152000.00000000012</c:v>
                </c:pt>
                <c:pt idx="1">
                  <c:v>141499.99999999988</c:v>
                </c:pt>
                <c:pt idx="2">
                  <c:v>-148000</c:v>
                </c:pt>
              </c:numCache>
            </c:numRef>
          </c:val>
          <c:extLst>
            <c:ext xmlns:c16="http://schemas.microsoft.com/office/drawing/2014/chart" uri="{C3380CC4-5D6E-409C-BE32-E72D297353CC}">
              <c16:uniqueId val="{00000007-9697-4070-B539-ECB531162510}"/>
            </c:ext>
          </c:extLst>
        </c:ser>
        <c:dLbls>
          <c:showLegendKey val="0"/>
          <c:showVal val="0"/>
          <c:showCatName val="0"/>
          <c:showSerName val="0"/>
          <c:showPercent val="0"/>
          <c:showBubbleSize val="0"/>
        </c:dLbls>
        <c:gapWidth val="219"/>
        <c:overlap val="-27"/>
        <c:axId val="1640308751"/>
        <c:axId val="1640310671"/>
      </c:barChart>
      <c:catAx>
        <c:axId val="164030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640310671"/>
        <c:crosses val="autoZero"/>
        <c:auto val="1"/>
        <c:lblAlgn val="ctr"/>
        <c:lblOffset val="100"/>
        <c:noMultiLvlLbl val="0"/>
      </c:catAx>
      <c:valAx>
        <c:axId val="1640310671"/>
        <c:scaling>
          <c:orientation val="minMax"/>
        </c:scaling>
        <c:delete val="0"/>
        <c:axPos val="l"/>
        <c:majorGridlines>
          <c:spPr>
            <a:ln w="9525" cap="flat" cmpd="sng" algn="ctr">
              <a:solidFill>
                <a:schemeClr val="tx1">
                  <a:lumMod val="15000"/>
                  <a:lumOff val="85000"/>
                </a:schemeClr>
              </a:solidFill>
              <a:round/>
            </a:ln>
            <a:effectLst/>
          </c:spPr>
        </c:majorGridlines>
        <c:numFmt formatCode="_-* #\ ##0\ [$€-1]_-;\-* #\ ##0\ [$€-1]_-;_-* &quot;-&quot;??\ [$€-1]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64030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[HW2Cloud_Cost_planning_BP2026_for analyze.xlsx]Dashboards!PivotTable4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7D12FF-C7A1-4913-9F1C-FE8F5ECB284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0BBB1EC-A4D7-4A6C-B16E-529B7325362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4E8511-D03A-46C6-8F63-215CCE8FE97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818C372-F5FD-47E7-862D-F03114D6551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EC8A5B-721B-4FBB-99A7-7CEC071925A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45FC06-D748-4D03-9745-2BC1128252E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19A98B-2AB5-4E19-843B-950F3287232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2F3ACA-EA0F-48CD-A119-F54628D2CBA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FFC60F-B0C4-4798-983D-D84B5FC2F52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9B1658-6983-4C57-A378-BD84A9EF697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62EB8EA-0E90-4D34-A39C-49A11404893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w="28575" cap="rnd">
            <a:noFill/>
            <a:round/>
          </a:ln>
          <a:effectLst/>
        </c:spPr>
        <c:marker>
          <c:symbol val="dash"/>
          <c:size val="10"/>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8D7ECD-B82E-44C8-8164-21C9F42222B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dash"/>
          <c:size val="19"/>
          <c:spPr>
            <a:solidFill>
              <a:schemeClr val="accent1"/>
            </a:solidFill>
            <a:ln w="9525">
              <a:solidFill>
                <a:schemeClr val="accent1"/>
              </a:solidFill>
            </a:ln>
            <a:effectLst/>
          </c:spPr>
        </c:marker>
        <c:dLbl>
          <c:idx val="0"/>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
        <c:spPr>
          <a:solidFill>
            <a:schemeClr val="accent1"/>
          </a:solidFill>
          <a:ln w="28575" cap="rnd">
            <a:noFill/>
            <a:round/>
          </a:ln>
          <a:effectLst/>
        </c:spPr>
        <c:marker>
          <c:symbol val="dash"/>
          <c:size val="19"/>
          <c:spPr>
            <a:solidFill>
              <a:schemeClr val="accent1"/>
            </a:solidFill>
            <a:ln w="9525">
              <a:solidFill>
                <a:schemeClr val="accent1"/>
              </a:solidFill>
            </a:ln>
            <a:effectLst/>
          </c:spPr>
        </c:marker>
        <c:dLbl>
          <c:idx val="0"/>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8"/>
        <c:spPr>
          <a:solidFill>
            <a:schemeClr val="accent1"/>
          </a:solidFill>
          <a:ln w="28575" cap="rnd">
            <a:noFill/>
            <a:round/>
          </a:ln>
          <a:effectLst/>
        </c:spPr>
        <c:marker>
          <c:symbol val="dash"/>
          <c:size val="19"/>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0FC5BDD-D6A7-4C38-894E-6CCDCD51D12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1"/>
          </a:solidFill>
          <a:ln w="28575" cap="rnd">
            <a:noFill/>
            <a:round/>
          </a:ln>
          <a:effectLst/>
        </c:spPr>
        <c:marker>
          <c:symbol val="dash"/>
          <c:size val="19"/>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7F109F1-CA36-4779-9D4D-BBAFFE74AE0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1"/>
          </a:solidFill>
          <a:ln w="28575" cap="rnd">
            <a:noFill/>
            <a:round/>
          </a:ln>
          <a:effectLst/>
        </c:spPr>
        <c:marker>
          <c:symbol val="dash"/>
          <c:size val="19"/>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E42385-CD20-4C5F-9532-CFC05C3C43F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1"/>
          </a:solidFill>
          <a:ln w="28575" cap="rnd">
            <a:noFill/>
            <a:round/>
          </a:ln>
          <a:effectLst/>
        </c:spPr>
        <c:marker>
          <c:symbol val="dash"/>
          <c:size val="19"/>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C55A137-13C9-403B-9857-F01D421F274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1"/>
          </a:solidFill>
          <a:ln w="28575" cap="rnd">
            <a:noFill/>
            <a:round/>
          </a:ln>
          <a:effectLst/>
        </c:spPr>
        <c:marker>
          <c:symbol val="dash"/>
          <c:size val="19"/>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169B28-FF1B-4EBE-9022-26AC85E061E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1"/>
          </a:solidFill>
          <a:ln w="28575" cap="rnd">
            <a:noFill/>
            <a:round/>
          </a:ln>
          <a:effectLst/>
        </c:spPr>
        <c:marker>
          <c:symbol val="dash"/>
          <c:size val="19"/>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116C24-5A23-4CD1-A6BF-8F94DED24E7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1"/>
          </a:solidFill>
          <a:ln w="28575" cap="rnd">
            <a:noFill/>
            <a:round/>
          </a:ln>
          <a:effectLst/>
        </c:spPr>
        <c:marker>
          <c:symbol val="dash"/>
          <c:size val="19"/>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B6E58D-B9C4-4AAC-BD60-B13EAC6506B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1"/>
          </a:solidFill>
          <a:ln w="28575" cap="rnd">
            <a:noFill/>
            <a:round/>
          </a:ln>
          <a:effectLst/>
        </c:spPr>
        <c:marker>
          <c:symbol val="dash"/>
          <c:size val="19"/>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3C4E4E-1EE9-43A0-8D8D-948D8870924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1"/>
          </a:solidFill>
          <a:ln w="28575" cap="rnd">
            <a:noFill/>
            <a:round/>
          </a:ln>
          <a:effectLst/>
        </c:spPr>
        <c:marker>
          <c:symbol val="dash"/>
          <c:size val="19"/>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2318D4-405F-40EC-BC06-31FBE1008C1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chemeClr val="accent1"/>
          </a:solidFill>
          <a:ln w="28575" cap="rnd">
            <a:noFill/>
            <a:round/>
          </a:ln>
          <a:effectLst/>
        </c:spPr>
        <c:marker>
          <c:symbol val="dash"/>
          <c:size val="19"/>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036A55-F72C-439E-B53E-F0FD1858DBA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chemeClr val="accent1"/>
          </a:solidFill>
          <a:ln w="28575" cap="rnd">
            <a:noFill/>
            <a:round/>
          </a:ln>
          <a:effectLst/>
        </c:spPr>
        <c:marker>
          <c:symbol val="dash"/>
          <c:size val="19"/>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C68FD7-F741-4FA6-91C0-D1E89D6AAF0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bg-BG"/>
              </a:p>
            </c:rich>
          </c:tx>
          <c:numFmt formatCode="#,##0" sourceLinked="0"/>
          <c:spPr>
            <a:solidFill>
              <a:schemeClr val="bg1">
                <a:alpha val="5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Dashboards!$B$87</c:f>
              <c:strCache>
                <c:ptCount val="1"/>
                <c:pt idx="0">
                  <c:v>Sum of CF05 C-Hub PF</c:v>
                </c:pt>
              </c:strCache>
            </c:strRef>
          </c:tx>
          <c:spPr>
            <a:solidFill>
              <a:schemeClr val="accent1"/>
            </a:solidFill>
            <a:ln>
              <a:noFill/>
            </a:ln>
            <a:effectLst/>
          </c:spPr>
          <c:invertIfNegative val="0"/>
          <c:cat>
            <c:strRef>
              <c:f>Dashboards!$A$88:$A$100</c:f>
              <c:strCache>
                <c:ptCount val="12"/>
                <c:pt idx="0">
                  <c:v>Container App Development</c:v>
                </c:pt>
                <c:pt idx="1">
                  <c:v>HW &amp; BSW</c:v>
                </c:pt>
                <c:pt idx="2">
                  <c:v>NA ENG Team</c:v>
                </c:pt>
                <c:pt idx="3">
                  <c:v>Partner Management</c:v>
                </c:pt>
                <c:pt idx="4">
                  <c:v>Premium Multi-Brand Data</c:v>
                </c:pt>
                <c:pt idx="5">
                  <c:v>Refunding</c:v>
                </c:pt>
                <c:pt idx="6">
                  <c:v>Service Delivery OPS &amp; Support</c:v>
                </c:pt>
                <c:pt idx="7">
                  <c:v>Stretch target</c:v>
                </c:pt>
                <c:pt idx="8">
                  <c:v>Supporting Functions</c:v>
                </c:pt>
                <c:pt idx="9">
                  <c:v>Sys-Integration &amp; Testing</c:v>
                </c:pt>
                <c:pt idx="10">
                  <c:v>System Eng. &amp; Feature Owners</c:v>
                </c:pt>
                <c:pt idx="11">
                  <c:v>(blank)</c:v>
                </c:pt>
              </c:strCache>
            </c:strRef>
          </c:cat>
          <c:val>
            <c:numRef>
              <c:f>Dashboards!$B$88:$B$100</c:f>
              <c:numCache>
                <c:formatCode>_-* #\ ##0\ [$€-1]_-;\-* #\ ##0\ [$€-1]_-;_-* "-"??\ [$€-1]_-;_-@_-</c:formatCode>
                <c:ptCount val="12"/>
                <c:pt idx="0">
                  <c:v>78598.666666666672</c:v>
                </c:pt>
                <c:pt idx="1">
                  <c:v>1706000</c:v>
                </c:pt>
                <c:pt idx="2">
                  <c:v>423141.91304347821</c:v>
                </c:pt>
                <c:pt idx="3">
                  <c:v>40717.892156862748</c:v>
                </c:pt>
                <c:pt idx="4">
                  <c:v>180000</c:v>
                </c:pt>
                <c:pt idx="5">
                  <c:v>-330000</c:v>
                </c:pt>
                <c:pt idx="6">
                  <c:v>541116.79098039225</c:v>
                </c:pt>
                <c:pt idx="7">
                  <c:v>-743003.95025112596</c:v>
                </c:pt>
                <c:pt idx="8">
                  <c:v>65602.606666666674</c:v>
                </c:pt>
                <c:pt idx="9">
                  <c:v>625412.94761904771</c:v>
                </c:pt>
                <c:pt idx="10">
                  <c:v>209660.17333333334</c:v>
                </c:pt>
                <c:pt idx="11">
                  <c:v>2297941.6780499648</c:v>
                </c:pt>
              </c:numCache>
            </c:numRef>
          </c:val>
          <c:extLst>
            <c:ext xmlns:c16="http://schemas.microsoft.com/office/drawing/2014/chart" uri="{C3380CC4-5D6E-409C-BE32-E72D297353CC}">
              <c16:uniqueId val="{00000000-529D-4899-AD23-2E8469009776}"/>
            </c:ext>
          </c:extLst>
        </c:ser>
        <c:ser>
          <c:idx val="1"/>
          <c:order val="1"/>
          <c:tx>
            <c:strRef>
              <c:f>Dashboards!$C$87</c:f>
              <c:strCache>
                <c:ptCount val="1"/>
                <c:pt idx="0">
                  <c:v>Sum of EAC (based on YTD actuals)</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529D-4899-AD23-2E8469009776}"/>
              </c:ext>
            </c:extLst>
          </c:dPt>
          <c:dPt>
            <c:idx val="1"/>
            <c:invertIfNegative val="0"/>
            <c:bubble3D val="0"/>
            <c:extLst>
              <c:ext xmlns:c16="http://schemas.microsoft.com/office/drawing/2014/chart" uri="{C3380CC4-5D6E-409C-BE32-E72D297353CC}">
                <c16:uniqueId val="{00000006-529D-4899-AD23-2E8469009776}"/>
              </c:ext>
            </c:extLst>
          </c:dPt>
          <c:dPt>
            <c:idx val="2"/>
            <c:invertIfNegative val="0"/>
            <c:bubble3D val="0"/>
            <c:extLst>
              <c:ext xmlns:c16="http://schemas.microsoft.com/office/drawing/2014/chart" uri="{C3380CC4-5D6E-409C-BE32-E72D297353CC}">
                <c16:uniqueId val="{00000007-529D-4899-AD23-2E8469009776}"/>
              </c:ext>
            </c:extLst>
          </c:dPt>
          <c:dPt>
            <c:idx val="3"/>
            <c:invertIfNegative val="0"/>
            <c:bubble3D val="0"/>
            <c:extLst>
              <c:ext xmlns:c16="http://schemas.microsoft.com/office/drawing/2014/chart" uri="{C3380CC4-5D6E-409C-BE32-E72D297353CC}">
                <c16:uniqueId val="{00000008-529D-4899-AD23-2E8469009776}"/>
              </c:ext>
            </c:extLst>
          </c:dPt>
          <c:dPt>
            <c:idx val="4"/>
            <c:invertIfNegative val="0"/>
            <c:bubble3D val="0"/>
            <c:extLst>
              <c:ext xmlns:c16="http://schemas.microsoft.com/office/drawing/2014/chart" uri="{C3380CC4-5D6E-409C-BE32-E72D297353CC}">
                <c16:uniqueId val="{00000009-529D-4899-AD23-2E8469009776}"/>
              </c:ext>
            </c:extLst>
          </c:dPt>
          <c:dPt>
            <c:idx val="5"/>
            <c:invertIfNegative val="0"/>
            <c:bubble3D val="0"/>
            <c:extLst>
              <c:ext xmlns:c16="http://schemas.microsoft.com/office/drawing/2014/chart" uri="{C3380CC4-5D6E-409C-BE32-E72D297353CC}">
                <c16:uniqueId val="{0000000A-529D-4899-AD23-2E8469009776}"/>
              </c:ext>
            </c:extLst>
          </c:dPt>
          <c:dPt>
            <c:idx val="6"/>
            <c:invertIfNegative val="0"/>
            <c:bubble3D val="0"/>
            <c:extLst>
              <c:ext xmlns:c16="http://schemas.microsoft.com/office/drawing/2014/chart" uri="{C3380CC4-5D6E-409C-BE32-E72D297353CC}">
                <c16:uniqueId val="{0000000B-529D-4899-AD23-2E8469009776}"/>
              </c:ext>
            </c:extLst>
          </c:dPt>
          <c:dPt>
            <c:idx val="7"/>
            <c:invertIfNegative val="0"/>
            <c:bubble3D val="0"/>
            <c:extLst>
              <c:ext xmlns:c16="http://schemas.microsoft.com/office/drawing/2014/chart" uri="{C3380CC4-5D6E-409C-BE32-E72D297353CC}">
                <c16:uniqueId val="{0000000C-529D-4899-AD23-2E8469009776}"/>
              </c:ext>
            </c:extLst>
          </c:dPt>
          <c:dPt>
            <c:idx val="8"/>
            <c:invertIfNegative val="0"/>
            <c:bubble3D val="0"/>
            <c:extLst>
              <c:ext xmlns:c16="http://schemas.microsoft.com/office/drawing/2014/chart" uri="{C3380CC4-5D6E-409C-BE32-E72D297353CC}">
                <c16:uniqueId val="{0000000D-529D-4899-AD23-2E8469009776}"/>
              </c:ext>
            </c:extLst>
          </c:dPt>
          <c:dPt>
            <c:idx val="9"/>
            <c:invertIfNegative val="0"/>
            <c:bubble3D val="0"/>
            <c:extLst>
              <c:ext xmlns:c16="http://schemas.microsoft.com/office/drawing/2014/chart" uri="{C3380CC4-5D6E-409C-BE32-E72D297353CC}">
                <c16:uniqueId val="{0000000E-529D-4899-AD23-2E8469009776}"/>
              </c:ext>
            </c:extLst>
          </c:dPt>
          <c:dPt>
            <c:idx val="10"/>
            <c:invertIfNegative val="0"/>
            <c:bubble3D val="0"/>
            <c:extLst>
              <c:ext xmlns:c16="http://schemas.microsoft.com/office/drawing/2014/chart" uri="{C3380CC4-5D6E-409C-BE32-E72D297353CC}">
                <c16:uniqueId val="{0000000F-529D-4899-AD23-2E8469009776}"/>
              </c:ext>
            </c:extLst>
          </c:dPt>
          <c:dPt>
            <c:idx val="11"/>
            <c:invertIfNegative val="0"/>
            <c:bubble3D val="0"/>
            <c:extLst>
              <c:ext xmlns:c16="http://schemas.microsoft.com/office/drawing/2014/chart" uri="{C3380CC4-5D6E-409C-BE32-E72D297353CC}">
                <c16:uniqueId val="{00000010-529D-4899-AD23-2E8469009776}"/>
              </c:ext>
            </c:extLst>
          </c:dPt>
          <c:cat>
            <c:strRef>
              <c:f>Dashboards!$A$88:$A$100</c:f>
              <c:strCache>
                <c:ptCount val="12"/>
                <c:pt idx="0">
                  <c:v>Container App Development</c:v>
                </c:pt>
                <c:pt idx="1">
                  <c:v>HW &amp; BSW</c:v>
                </c:pt>
                <c:pt idx="2">
                  <c:v>NA ENG Team</c:v>
                </c:pt>
                <c:pt idx="3">
                  <c:v>Partner Management</c:v>
                </c:pt>
                <c:pt idx="4">
                  <c:v>Premium Multi-Brand Data</c:v>
                </c:pt>
                <c:pt idx="5">
                  <c:v>Refunding</c:v>
                </c:pt>
                <c:pt idx="6">
                  <c:v>Service Delivery OPS &amp; Support</c:v>
                </c:pt>
                <c:pt idx="7">
                  <c:v>Stretch target</c:v>
                </c:pt>
                <c:pt idx="8">
                  <c:v>Supporting Functions</c:v>
                </c:pt>
                <c:pt idx="9">
                  <c:v>Sys-Integration &amp; Testing</c:v>
                </c:pt>
                <c:pt idx="10">
                  <c:v>System Eng. &amp; Feature Owners</c:v>
                </c:pt>
                <c:pt idx="11">
                  <c:v>(blank)</c:v>
                </c:pt>
              </c:strCache>
            </c:strRef>
          </c:cat>
          <c:val>
            <c:numRef>
              <c:f>Dashboards!$C$88:$C$100</c:f>
              <c:numCache>
                <c:formatCode>_-* #\ ##0\ [$€-1]_-;\-* #\ ##0\ [$€-1]_-;_-* "-"??\ [$€-1]_-;_-@_-</c:formatCode>
                <c:ptCount val="12"/>
                <c:pt idx="0">
                  <c:v>66848.14112</c:v>
                </c:pt>
                <c:pt idx="1">
                  <c:v>1545016.3005975401</c:v>
                </c:pt>
                <c:pt idx="2">
                  <c:v>423141.92753623187</c:v>
                </c:pt>
                <c:pt idx="3">
                  <c:v>42387.109037647075</c:v>
                </c:pt>
                <c:pt idx="4">
                  <c:v>332000.00000000012</c:v>
                </c:pt>
                <c:pt idx="5">
                  <c:v>-330000</c:v>
                </c:pt>
                <c:pt idx="6">
                  <c:v>561572.01539381919</c:v>
                </c:pt>
                <c:pt idx="7">
                  <c:v>0</c:v>
                </c:pt>
                <c:pt idx="8">
                  <c:v>73933.249939076006</c:v>
                </c:pt>
                <c:pt idx="9">
                  <c:v>603310.54867428588</c:v>
                </c:pt>
                <c:pt idx="10">
                  <c:v>239475.92731904803</c:v>
                </c:pt>
                <c:pt idx="11">
                  <c:v>2347901.9700499643</c:v>
                </c:pt>
              </c:numCache>
            </c:numRef>
          </c:val>
          <c:extLst>
            <c:ext xmlns:c16="http://schemas.microsoft.com/office/drawing/2014/chart" uri="{C3380CC4-5D6E-409C-BE32-E72D297353CC}">
              <c16:uniqueId val="{00000001-529D-4899-AD23-2E8469009776}"/>
            </c:ext>
          </c:extLst>
        </c:ser>
        <c:ser>
          <c:idx val="2"/>
          <c:order val="2"/>
          <c:tx>
            <c:strRef>
              <c:f>Dashboards!$D$87</c:f>
              <c:strCache>
                <c:ptCount val="1"/>
                <c:pt idx="0">
                  <c:v>Gap (Porgnosis vs. Plan)</c:v>
                </c:pt>
              </c:strCache>
            </c:strRef>
          </c:tx>
          <c:spPr>
            <a:solidFill>
              <a:schemeClr val="accent3"/>
            </a:solidFill>
            <a:ln w="25400">
              <a:noFill/>
            </a:ln>
            <a:effectLst/>
          </c:spPr>
          <c:invertIfNegative val="0"/>
          <c:cat>
            <c:strRef>
              <c:f>Dashboards!$A$88:$A$100</c:f>
              <c:strCache>
                <c:ptCount val="12"/>
                <c:pt idx="0">
                  <c:v>Container App Development</c:v>
                </c:pt>
                <c:pt idx="1">
                  <c:v>HW &amp; BSW</c:v>
                </c:pt>
                <c:pt idx="2">
                  <c:v>NA ENG Team</c:v>
                </c:pt>
                <c:pt idx="3">
                  <c:v>Partner Management</c:v>
                </c:pt>
                <c:pt idx="4">
                  <c:v>Premium Multi-Brand Data</c:v>
                </c:pt>
                <c:pt idx="5">
                  <c:v>Refunding</c:v>
                </c:pt>
                <c:pt idx="6">
                  <c:v>Service Delivery OPS &amp; Support</c:v>
                </c:pt>
                <c:pt idx="7">
                  <c:v>Stretch target</c:v>
                </c:pt>
                <c:pt idx="8">
                  <c:v>Supporting Functions</c:v>
                </c:pt>
                <c:pt idx="9">
                  <c:v>Sys-Integration &amp; Testing</c:v>
                </c:pt>
                <c:pt idx="10">
                  <c:v>System Eng. &amp; Feature Owners</c:v>
                </c:pt>
                <c:pt idx="11">
                  <c:v>(blank)</c:v>
                </c:pt>
              </c:strCache>
            </c:strRef>
          </c:cat>
          <c:val>
            <c:numRef>
              <c:f>Dashboards!$D$88:$D$100</c:f>
              <c:numCache>
                <c:formatCode>_-* #\ ##0\ [$€-1]_-;\-* #\ ##0\ [$€-1]_-;_-* "-"??\ [$€-1]_-;_-@_-</c:formatCode>
                <c:ptCount val="12"/>
                <c:pt idx="0">
                  <c:v>-11750.525546666671</c:v>
                </c:pt>
                <c:pt idx="1">
                  <c:v>-160983.6994024599</c:v>
                </c:pt>
                <c:pt idx="2">
                  <c:v>1.4492753660306334E-2</c:v>
                </c:pt>
                <c:pt idx="3">
                  <c:v>1669.2168807843263</c:v>
                </c:pt>
                <c:pt idx="4">
                  <c:v>152000.00000000012</c:v>
                </c:pt>
                <c:pt idx="5">
                  <c:v>0</c:v>
                </c:pt>
                <c:pt idx="6">
                  <c:v>20455.224413427059</c:v>
                </c:pt>
                <c:pt idx="7">
                  <c:v>743003.95025112596</c:v>
                </c:pt>
                <c:pt idx="8">
                  <c:v>8330.6432724093356</c:v>
                </c:pt>
                <c:pt idx="9">
                  <c:v>-22102.398944761859</c:v>
                </c:pt>
                <c:pt idx="10">
                  <c:v>29815.753985714706</c:v>
                </c:pt>
                <c:pt idx="11">
                  <c:v>49960.291999999841</c:v>
                </c:pt>
              </c:numCache>
            </c:numRef>
          </c:val>
          <c:extLst>
            <c:ext xmlns:c16="http://schemas.microsoft.com/office/drawing/2014/chart" uri="{C3380CC4-5D6E-409C-BE32-E72D297353CC}">
              <c16:uniqueId val="{0000001B-DD6F-4413-BCC8-6462B9BEE4F9}"/>
            </c:ext>
          </c:extLst>
        </c:ser>
        <c:dLbls>
          <c:showLegendKey val="0"/>
          <c:showVal val="0"/>
          <c:showCatName val="0"/>
          <c:showSerName val="0"/>
          <c:showPercent val="0"/>
          <c:showBubbleSize val="0"/>
        </c:dLbls>
        <c:gapWidth val="219"/>
        <c:overlap val="-27"/>
        <c:axId val="1117958255"/>
        <c:axId val="1117958735"/>
      </c:barChart>
      <c:catAx>
        <c:axId val="111795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117958735"/>
        <c:crosses val="autoZero"/>
        <c:auto val="1"/>
        <c:lblAlgn val="ctr"/>
        <c:lblOffset val="100"/>
        <c:noMultiLvlLbl val="0"/>
      </c:catAx>
      <c:valAx>
        <c:axId val="1117958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11795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png"/><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emf"/><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emf"/><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oneCellAnchor>
    <xdr:from>
      <xdr:col>9</xdr:col>
      <xdr:colOff>78441</xdr:colOff>
      <xdr:row>41</xdr:row>
      <xdr:rowOff>179294</xdr:rowOff>
    </xdr:from>
    <xdr:ext cx="5640070" cy="1297919"/>
    <xdr:sp macro="" textlink="">
      <xdr:nvSpPr>
        <xdr:cNvPr id="2" name="TextBox 1">
          <a:extLst>
            <a:ext uri="{FF2B5EF4-FFF2-40B4-BE49-F238E27FC236}">
              <a16:creationId xmlns:a16="http://schemas.microsoft.com/office/drawing/2014/main" id="{72B480E2-9F74-5CDA-3BD2-D899A42BD996}"/>
            </a:ext>
          </a:extLst>
        </xdr:cNvPr>
        <xdr:cNvSpPr txBox="1"/>
      </xdr:nvSpPr>
      <xdr:spPr>
        <a:xfrm>
          <a:off x="22344529" y="6667500"/>
          <a:ext cx="5640070" cy="1297919"/>
        </a:xfrm>
        <a:prstGeom prst="rect">
          <a:avLst/>
        </a:prstGeom>
        <a:solidFill>
          <a:schemeClr val="bg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Risks status legend:</a:t>
          </a:r>
        </a:p>
        <a:p>
          <a:r>
            <a:rPr lang="en-US" b="1"/>
            <a:t>Identified:</a:t>
          </a:r>
          <a:r>
            <a:rPr lang="en-US"/>
            <a:t> The risk has been identified, but not yet</a:t>
          </a:r>
          <a:r>
            <a:rPr lang="en-US" baseline="0"/>
            <a:t> threated</a:t>
          </a:r>
          <a:r>
            <a:rPr lang="en-US"/>
            <a:t>.</a:t>
          </a:r>
        </a:p>
        <a:p>
          <a:r>
            <a:rPr lang="en-US" b="1"/>
            <a:t>Mitigated:</a:t>
          </a:r>
          <a:r>
            <a:rPr lang="en-US"/>
            <a:t> A mitigation plan is in place and the risk is being actively managed.</a:t>
          </a:r>
        </a:p>
        <a:p>
          <a:r>
            <a:rPr lang="en-US" b="1"/>
            <a:t>Accepted:</a:t>
          </a:r>
          <a:r>
            <a:rPr lang="en-US"/>
            <a:t> The organization has accepted the potential impact without taking active mitigation.</a:t>
          </a:r>
        </a:p>
        <a:p>
          <a:r>
            <a:rPr lang="en-US" b="1"/>
            <a:t>Realized:</a:t>
          </a:r>
          <a:r>
            <a:rPr lang="en-US"/>
            <a:t> The risk has occurred and become an active issue.</a:t>
          </a:r>
        </a:p>
        <a:p>
          <a:r>
            <a:rPr lang="en-US" b="1"/>
            <a:t>Closed:</a:t>
          </a:r>
          <a:r>
            <a:rPr lang="en-US"/>
            <a:t> The risk is no longer considered a threat, usually because its probability is zero.</a:t>
          </a:r>
        </a:p>
        <a:p>
          <a:r>
            <a:rPr lang="en-US" b="1"/>
            <a:t>Postponed:</a:t>
          </a:r>
          <a:r>
            <a:rPr lang="en-US"/>
            <a:t> Monitoring the risk is delayed until a later time. </a:t>
          </a:r>
          <a:endParaRPr lang="bg-BG" sz="1100" b="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189546</xdr:rowOff>
    </xdr:from>
    <xdr:to>
      <xdr:col>8</xdr:col>
      <xdr:colOff>676275</xdr:colOff>
      <xdr:row>47</xdr:row>
      <xdr:rowOff>57150</xdr:rowOff>
    </xdr:to>
    <xdr:graphicFrame macro="">
      <xdr:nvGraphicFramePr>
        <xdr:cNvPr id="3" name="Chart 1">
          <a:extLst>
            <a:ext uri="{FF2B5EF4-FFF2-40B4-BE49-F238E27FC236}">
              <a16:creationId xmlns:a16="http://schemas.microsoft.com/office/drawing/2014/main" id="{4D86AEB8-98FF-9E03-93A7-C20C2D74F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166405</xdr:colOff>
      <xdr:row>1</xdr:row>
      <xdr:rowOff>116821</xdr:rowOff>
    </xdr:from>
    <xdr:to>
      <xdr:col>35</xdr:col>
      <xdr:colOff>535782</xdr:colOff>
      <xdr:row>41</xdr:row>
      <xdr:rowOff>113459</xdr:rowOff>
    </xdr:to>
    <xdr:graphicFrame macro="">
      <xdr:nvGraphicFramePr>
        <xdr:cNvPr id="2" name="Chart 1">
          <a:extLst>
            <a:ext uri="{FF2B5EF4-FFF2-40B4-BE49-F238E27FC236}">
              <a16:creationId xmlns:a16="http://schemas.microsoft.com/office/drawing/2014/main" id="{DC12E51E-A035-32C4-D6C0-3024AD7F4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462241</xdr:colOff>
      <xdr:row>47</xdr:row>
      <xdr:rowOff>8683</xdr:rowOff>
    </xdr:from>
    <xdr:to>
      <xdr:col>19</xdr:col>
      <xdr:colOff>229160</xdr:colOff>
      <xdr:row>66</xdr:row>
      <xdr:rowOff>89646</xdr:rowOff>
    </xdr:to>
    <xdr:graphicFrame macro="">
      <xdr:nvGraphicFramePr>
        <xdr:cNvPr id="50" name="Chart 2">
          <a:extLst>
            <a:ext uri="{FF2B5EF4-FFF2-40B4-BE49-F238E27FC236}">
              <a16:creationId xmlns:a16="http://schemas.microsoft.com/office/drawing/2014/main" id="{F546C36E-86E4-4080-E6A9-6E82A3CBA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595453</xdr:colOff>
      <xdr:row>3</xdr:row>
      <xdr:rowOff>113879</xdr:rowOff>
    </xdr:from>
    <xdr:to>
      <xdr:col>16</xdr:col>
      <xdr:colOff>605090</xdr:colOff>
      <xdr:row>12</xdr:row>
      <xdr:rowOff>95250</xdr:rowOff>
    </xdr:to>
    <mc:AlternateContent xmlns:mc="http://schemas.openxmlformats.org/markup-compatibility/2006" xmlns:a14="http://schemas.microsoft.com/office/drawing/2010/main">
      <mc:Choice Requires="a14">
        <xdr:graphicFrame macro="">
          <xdr:nvGraphicFramePr>
            <xdr:cNvPr id="5" name="New MCR ID">
              <a:extLst>
                <a:ext uri="{FF2B5EF4-FFF2-40B4-BE49-F238E27FC236}">
                  <a16:creationId xmlns:a16="http://schemas.microsoft.com/office/drawing/2014/main" id="{ECCC1844-FA81-DAC0-9690-68D503814A3F}"/>
                </a:ext>
              </a:extLst>
            </xdr:cNvPr>
            <xdr:cNvGraphicFramePr/>
          </xdr:nvGraphicFramePr>
          <xdr:xfrm>
            <a:off x="0" y="0"/>
            <a:ext cx="0" cy="0"/>
          </xdr:xfrm>
          <a:graphic>
            <a:graphicData uri="http://schemas.microsoft.com/office/drawing/2010/slicer">
              <sle:slicer xmlns:sle="http://schemas.microsoft.com/office/drawing/2010/slicer" name="New MCR ID"/>
            </a:graphicData>
          </a:graphic>
        </xdr:graphicFrame>
      </mc:Choice>
      <mc:Fallback xmlns="">
        <xdr:sp macro="" textlink="">
          <xdr:nvSpPr>
            <xdr:cNvPr id="0" name=""/>
            <xdr:cNvSpPr>
              <a:spLocks noTextEdit="1"/>
            </xdr:cNvSpPr>
          </xdr:nvSpPr>
          <xdr:spPr>
            <a:xfrm>
              <a:off x="14606728" y="685379"/>
              <a:ext cx="1838437" cy="1695871"/>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487454</xdr:colOff>
      <xdr:row>67</xdr:row>
      <xdr:rowOff>1120</xdr:rowOff>
    </xdr:from>
    <xdr:to>
      <xdr:col>15</xdr:col>
      <xdr:colOff>168086</xdr:colOff>
      <xdr:row>81</xdr:row>
      <xdr:rowOff>77320</xdr:rowOff>
    </xdr:to>
    <xdr:graphicFrame macro="">
      <xdr:nvGraphicFramePr>
        <xdr:cNvPr id="3" name="Chart 2">
          <a:extLst>
            <a:ext uri="{FF2B5EF4-FFF2-40B4-BE49-F238E27FC236}">
              <a16:creationId xmlns:a16="http://schemas.microsoft.com/office/drawing/2014/main" id="{E224DDBA-891F-2C7D-F557-2EC4182DA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476250</xdr:colOff>
      <xdr:row>86</xdr:row>
      <xdr:rowOff>0</xdr:rowOff>
    </xdr:from>
    <xdr:to>
      <xdr:col>22</xdr:col>
      <xdr:colOff>447675</xdr:colOff>
      <xdr:row>118</xdr:row>
      <xdr:rowOff>57150</xdr:rowOff>
    </xdr:to>
    <xdr:graphicFrame macro="">
      <xdr:nvGraphicFramePr>
        <xdr:cNvPr id="7" name="Chart 3">
          <a:extLst>
            <a:ext uri="{FF2B5EF4-FFF2-40B4-BE49-F238E27FC236}">
              <a16:creationId xmlns:a16="http://schemas.microsoft.com/office/drawing/2014/main" id="{E458D240-DE9F-889D-244A-158231D27969}"/>
            </a:ext>
            <a:ext uri="{147F2762-F138-4A5C-976F-8EAC2B608ADB}">
              <a16:predDERef xmlns:a16="http://schemas.microsoft.com/office/drawing/2014/main" pred="{E224DDBA-891F-2C7D-F557-2EC4182DA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126</xdr:row>
      <xdr:rowOff>119062</xdr:rowOff>
    </xdr:from>
    <xdr:to>
      <xdr:col>30</xdr:col>
      <xdr:colOff>171450</xdr:colOff>
      <xdr:row>196</xdr:row>
      <xdr:rowOff>33337</xdr:rowOff>
    </xdr:to>
    <xdr:pic>
      <xdr:nvPicPr>
        <xdr:cNvPr id="8" name="Picture 7">
          <a:extLst>
            <a:ext uri="{FF2B5EF4-FFF2-40B4-BE49-F238E27FC236}">
              <a16:creationId xmlns:a16="http://schemas.microsoft.com/office/drawing/2014/main" id="{2AAE254D-4823-299C-B357-03A7D6BDF2E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4122062"/>
          <a:ext cx="24736425" cy="1324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71</xdr:row>
      <xdr:rowOff>0</xdr:rowOff>
    </xdr:from>
    <xdr:to>
      <xdr:col>9</xdr:col>
      <xdr:colOff>0</xdr:colOff>
      <xdr:row>95</xdr:row>
      <xdr:rowOff>28575</xdr:rowOff>
    </xdr:to>
    <xdr:pic>
      <xdr:nvPicPr>
        <xdr:cNvPr id="6" name="Picture 1">
          <a:extLst>
            <a:ext uri="{FF2B5EF4-FFF2-40B4-BE49-F238E27FC236}">
              <a16:creationId xmlns:a16="http://schemas.microsoft.com/office/drawing/2014/main" id="{CE2D3B77-02A6-4380-9666-53AEA8243F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965775" y="12763500"/>
          <a:ext cx="12639675" cy="460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647700</xdr:colOff>
      <xdr:row>55</xdr:row>
      <xdr:rowOff>142875</xdr:rowOff>
    </xdr:from>
    <xdr:ext cx="5048250" cy="1125693"/>
    <xdr:sp macro="" textlink="">
      <xdr:nvSpPr>
        <xdr:cNvPr id="228" name="TextBox 2">
          <a:extLst>
            <a:ext uri="{FF2B5EF4-FFF2-40B4-BE49-F238E27FC236}">
              <a16:creationId xmlns:a16="http://schemas.microsoft.com/office/drawing/2014/main" id="{8314B19F-E5DC-6FFF-8AB3-F25794D68B88}"/>
            </a:ext>
          </a:extLst>
        </xdr:cNvPr>
        <xdr:cNvSpPr txBox="1"/>
      </xdr:nvSpPr>
      <xdr:spPr>
        <a:xfrm>
          <a:off x="647700" y="3571875"/>
          <a:ext cx="5048250" cy="1125693"/>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Input</a:t>
          </a:r>
          <a:r>
            <a:rPr lang="en-US" sz="1100" b="1" baseline="0"/>
            <a:t> about BM-00107799_002 C-Hub Cust Ext : </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This should be </a:t>
          </a:r>
          <a:r>
            <a:rPr lang="en-US"/>
            <a:t>new L1 number</a:t>
          </a:r>
        </a:p>
        <a:p>
          <a:pPr marL="0" marR="0" lvl="0" indent="0" defTabSz="914400" eaLnBrk="1" fontAlgn="auto" latinLnBrk="0" hangingPunct="1">
            <a:lnSpc>
              <a:spcPct val="100000"/>
            </a:lnSpc>
            <a:spcBef>
              <a:spcPts val="0"/>
            </a:spcBef>
            <a:spcAft>
              <a:spcPts val="0"/>
            </a:spcAft>
            <a:buClrTx/>
            <a:buSzTx/>
            <a:buFontTx/>
            <a:buNone/>
            <a:tabLst/>
            <a:defRPr/>
          </a:pPr>
          <a:r>
            <a:rPr lang="en-US"/>
            <a:t>- PDCL P00540 (PAC) / copy/paste from  BM-00107799_001 number</a:t>
          </a:r>
        </a:p>
        <a:p>
          <a:pPr marL="0" marR="0" lvl="0" indent="0" defTabSz="914400" eaLnBrk="1" fontAlgn="auto" latinLnBrk="0" hangingPunct="1">
            <a:lnSpc>
              <a:spcPct val="100000"/>
            </a:lnSpc>
            <a:spcBef>
              <a:spcPts val="0"/>
            </a:spcBef>
            <a:spcAft>
              <a:spcPts val="0"/>
            </a:spcAft>
            <a:buClrTx/>
            <a:buSzTx/>
            <a:buFontTx/>
            <a:buNone/>
            <a:tabLst/>
            <a:defRPr/>
          </a:pPr>
          <a:r>
            <a:rPr lang="en-US"/>
            <a:t>- Status</a:t>
          </a:r>
          <a:r>
            <a:rPr lang="en-US" baseline="0"/>
            <a:t> should be "</a:t>
          </a:r>
          <a:r>
            <a:rPr lang="en-US"/>
            <a:t>PLAN"</a:t>
          </a:r>
        </a:p>
        <a:p>
          <a:pPr marL="0" marR="0" lvl="0" indent="0" defTabSz="914400" eaLnBrk="1" fontAlgn="auto" latinLnBrk="0" hangingPunct="1">
            <a:lnSpc>
              <a:spcPct val="100000"/>
            </a:lnSpc>
            <a:spcBef>
              <a:spcPts val="0"/>
            </a:spcBef>
            <a:spcAft>
              <a:spcPts val="0"/>
            </a:spcAft>
            <a:buClrTx/>
            <a:buSzTx/>
            <a:buFontTx/>
            <a:buNone/>
            <a:tabLst/>
            <a:defRPr/>
          </a:pPr>
          <a:r>
            <a:rPr lang="en-US"/>
            <a:t>- Once planned send</a:t>
          </a:r>
          <a:r>
            <a:rPr lang="en-US" baseline="0"/>
            <a:t> YAP to </a:t>
          </a:r>
          <a:r>
            <a:rPr lang="en-US"/>
            <a:t>Erhard for approval</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58</xdr:row>
      <xdr:rowOff>0</xdr:rowOff>
    </xdr:from>
    <xdr:to>
      <xdr:col>15</xdr:col>
      <xdr:colOff>63406</xdr:colOff>
      <xdr:row>74</xdr:row>
      <xdr:rowOff>171899</xdr:rowOff>
    </xdr:to>
    <xdr:pic>
      <xdr:nvPicPr>
        <xdr:cNvPr id="2" name="Grafik 1">
          <a:extLst>
            <a:ext uri="{FF2B5EF4-FFF2-40B4-BE49-F238E27FC236}">
              <a16:creationId xmlns:a16="http://schemas.microsoft.com/office/drawing/2014/main" id="{78181D8B-BB8C-415B-8324-04272FD49433}"/>
            </a:ext>
          </a:extLst>
        </xdr:cNvPr>
        <xdr:cNvPicPr>
          <a:picLocks noChangeAspect="1"/>
        </xdr:cNvPicPr>
      </xdr:nvPicPr>
      <xdr:blipFill>
        <a:blip xmlns:r="http://schemas.openxmlformats.org/officeDocument/2006/relationships" r:embed="rId1"/>
        <a:stretch>
          <a:fillRect/>
        </a:stretch>
      </xdr:blipFill>
      <xdr:spPr>
        <a:xfrm>
          <a:off x="5505450" y="8382000"/>
          <a:ext cx="12131581" cy="321989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1476375</xdr:colOff>
          <xdr:row>47</xdr:row>
          <xdr:rowOff>23606</xdr:rowOff>
        </xdr:from>
        <xdr:to>
          <xdr:col>10</xdr:col>
          <xdr:colOff>1441206</xdr:colOff>
          <xdr:row>51</xdr:row>
          <xdr:rowOff>23606</xdr:rowOff>
        </xdr:to>
        <xdr:pic>
          <xdr:nvPicPr>
            <xdr:cNvPr id="3" name="Picture 2">
              <a:extLst>
                <a:ext uri="{FF2B5EF4-FFF2-40B4-BE49-F238E27FC236}">
                  <a16:creationId xmlns:a16="http://schemas.microsoft.com/office/drawing/2014/main" id="{C471AF9F-D517-4AEB-92E2-8A51D7F6AC6D}"/>
                </a:ext>
              </a:extLst>
            </xdr:cNvPr>
            <xdr:cNvPicPr>
              <a:picLocks noChangeAspect="1" noChangeArrowheads="1"/>
              <a:extLst>
                <a:ext uri="{84589F7E-364E-4C9E-8A38-B11213B215E9}">
                  <a14:cameraTool cellRange="#REF!" spid="_x0000_s109077"/>
                </a:ext>
              </a:extLst>
            </xdr:cNvPicPr>
          </xdr:nvPicPr>
          <xdr:blipFill>
            <a:blip xmlns:r="http://schemas.openxmlformats.org/officeDocument/2006/relationships" r:embed="rId2"/>
            <a:srcRect/>
            <a:stretch>
              <a:fillRect/>
            </a:stretch>
          </xdr:blipFill>
          <xdr:spPr bwMode="auto">
            <a:xfrm>
              <a:off x="9675202" y="8977106"/>
              <a:ext cx="3562350" cy="762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6</xdr:col>
      <xdr:colOff>1548848</xdr:colOff>
      <xdr:row>47</xdr:row>
      <xdr:rowOff>157370</xdr:rowOff>
    </xdr:from>
    <xdr:to>
      <xdr:col>14</xdr:col>
      <xdr:colOff>477998</xdr:colOff>
      <xdr:row>56</xdr:row>
      <xdr:rowOff>15547</xdr:rowOff>
    </xdr:to>
    <xdr:pic>
      <xdr:nvPicPr>
        <xdr:cNvPr id="4" name="Picture 2">
          <a:extLst>
            <a:ext uri="{FF2B5EF4-FFF2-40B4-BE49-F238E27FC236}">
              <a16:creationId xmlns:a16="http://schemas.microsoft.com/office/drawing/2014/main" id="{1E532CC2-3CF0-4C1D-BDC9-B5135EBEFDA4}"/>
            </a:ext>
          </a:extLst>
        </xdr:cNvPr>
        <xdr:cNvPicPr>
          <a:picLocks noChangeAspect="1"/>
        </xdr:cNvPicPr>
      </xdr:nvPicPr>
      <xdr:blipFill>
        <a:blip xmlns:r="http://schemas.openxmlformats.org/officeDocument/2006/relationships" r:embed="rId3"/>
        <a:stretch>
          <a:fillRect/>
        </a:stretch>
      </xdr:blipFill>
      <xdr:spPr>
        <a:xfrm>
          <a:off x="13340798" y="6443870"/>
          <a:ext cx="5127879" cy="157267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72</xdr:row>
      <xdr:rowOff>0</xdr:rowOff>
    </xdr:from>
    <xdr:to>
      <xdr:col>9</xdr:col>
      <xdr:colOff>0</xdr:colOff>
      <xdr:row>96</xdr:row>
      <xdr:rowOff>28575</xdr:rowOff>
    </xdr:to>
    <xdr:pic>
      <xdr:nvPicPr>
        <xdr:cNvPr id="2" name="Picture 1">
          <a:extLst>
            <a:ext uri="{FF2B5EF4-FFF2-40B4-BE49-F238E27FC236}">
              <a16:creationId xmlns:a16="http://schemas.microsoft.com/office/drawing/2014/main" id="{D4BD5917-68BE-4F91-AD56-8AA393B030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68650" y="10096500"/>
          <a:ext cx="781050" cy="460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58</xdr:row>
      <xdr:rowOff>0</xdr:rowOff>
    </xdr:from>
    <xdr:to>
      <xdr:col>8</xdr:col>
      <xdr:colOff>1206406</xdr:colOff>
      <xdr:row>74</xdr:row>
      <xdr:rowOff>171899</xdr:rowOff>
    </xdr:to>
    <xdr:pic>
      <xdr:nvPicPr>
        <xdr:cNvPr id="2" name="Grafik 1">
          <a:extLst>
            <a:ext uri="{FF2B5EF4-FFF2-40B4-BE49-F238E27FC236}">
              <a16:creationId xmlns:a16="http://schemas.microsoft.com/office/drawing/2014/main" id="{B96BACE5-90CB-4252-A3CF-74EB8D4248C0}"/>
            </a:ext>
          </a:extLst>
        </xdr:cNvPr>
        <xdr:cNvPicPr>
          <a:picLocks noChangeAspect="1"/>
        </xdr:cNvPicPr>
      </xdr:nvPicPr>
      <xdr:blipFill>
        <a:blip xmlns:r="http://schemas.openxmlformats.org/officeDocument/2006/relationships" r:embed="rId1"/>
        <a:stretch>
          <a:fillRect/>
        </a:stretch>
      </xdr:blipFill>
      <xdr:spPr>
        <a:xfrm>
          <a:off x="3429000" y="8382000"/>
          <a:ext cx="12131581" cy="321989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1480185</xdr:colOff>
          <xdr:row>47</xdr:row>
          <xdr:rowOff>29321</xdr:rowOff>
        </xdr:from>
        <xdr:to>
          <xdr:col>5</xdr:col>
          <xdr:colOff>1436642</xdr:colOff>
          <xdr:row>51</xdr:row>
          <xdr:rowOff>29321</xdr:rowOff>
        </xdr:to>
        <xdr:pic>
          <xdr:nvPicPr>
            <xdr:cNvPr id="3" name="Picture 2">
              <a:extLst>
                <a:ext uri="{FF2B5EF4-FFF2-40B4-BE49-F238E27FC236}">
                  <a16:creationId xmlns:a16="http://schemas.microsoft.com/office/drawing/2014/main" id="{00A1C26B-BE80-4030-AFA6-231697E51749}"/>
                </a:ext>
              </a:extLst>
            </xdr:cNvPr>
            <xdr:cNvPicPr>
              <a:picLocks noChangeAspect="1" noChangeArrowheads="1"/>
              <a:extLst>
                <a:ext uri="{84589F7E-364E-4C9E-8A38-B11213B215E9}">
                  <a14:cameraTool cellRange="#REF!" spid="_x0000_s99032"/>
                </a:ext>
              </a:extLst>
            </xdr:cNvPicPr>
          </xdr:nvPicPr>
          <xdr:blipFill>
            <a:blip xmlns:r="http://schemas.openxmlformats.org/officeDocument/2006/relationships" r:embed="rId2"/>
            <a:srcRect/>
            <a:stretch>
              <a:fillRect/>
            </a:stretch>
          </xdr:blipFill>
          <xdr:spPr bwMode="auto">
            <a:xfrm>
              <a:off x="7589792" y="1743821"/>
              <a:ext cx="3562350" cy="762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5</xdr:col>
      <xdr:colOff>1548848</xdr:colOff>
      <xdr:row>47</xdr:row>
      <xdr:rowOff>157370</xdr:rowOff>
    </xdr:from>
    <xdr:to>
      <xdr:col>8</xdr:col>
      <xdr:colOff>2038052</xdr:colOff>
      <xdr:row>56</xdr:row>
      <xdr:rowOff>15547</xdr:rowOff>
    </xdr:to>
    <xdr:pic>
      <xdr:nvPicPr>
        <xdr:cNvPr id="4" name="Picture 2">
          <a:extLst>
            <a:ext uri="{FF2B5EF4-FFF2-40B4-BE49-F238E27FC236}">
              <a16:creationId xmlns:a16="http://schemas.microsoft.com/office/drawing/2014/main" id="{B1B80C3D-DE6D-48AD-A5BE-FFE7B0882078}"/>
            </a:ext>
          </a:extLst>
        </xdr:cNvPr>
        <xdr:cNvPicPr>
          <a:picLocks noChangeAspect="1"/>
        </xdr:cNvPicPr>
      </xdr:nvPicPr>
      <xdr:blipFill>
        <a:blip xmlns:r="http://schemas.openxmlformats.org/officeDocument/2006/relationships" r:embed="rId3"/>
        <a:stretch>
          <a:fillRect/>
        </a:stretch>
      </xdr:blipFill>
      <xdr:spPr>
        <a:xfrm>
          <a:off x="11264348" y="6443870"/>
          <a:ext cx="5127879" cy="15726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Hodzic Alkis (PS-CV/EES PS-SC/XPS)" id="{6CE8762A-820B-4050-BB07-909FE806324E}" userId="aoh3fe@bosch.com" providerId="PeoplePicker"/>
  <person displayName="Karaivanov Stanislav (BD/SPB-APA9)" id="{E6D3D985-AF94-436C-978F-C46143C9C0AC}" userId="kas2sf@bosch.com" providerId="PeoplePicker"/>
  <person displayName="Hodzic Alkis (PS-CV/EES PS-SC/XPS)" id="{16999E8B-2DD6-4420-BB63-B3CC70C6B8FD}" userId="S::aoh3fe@bosch.com::2bcc72e8-f1ee-4c59-9d9a-d11c7b949b8d" providerId="AD"/>
  <person displayName="Ginzel Rainer (BD/SPB-APB9 BD/MSA-DSS-Sq4 PS-SC/XPS)" id="{5A49E68E-B2D4-46AC-929F-BB0E9350F0CE}" userId="S::gia1fe@bosch.com::0286d011-379d-42c9-955b-61f811e85c80" providerId="AD"/>
  <person displayName="Karaivanov Stanislav (BD/SPB-APA9)" id="{3CAB1F57-10AA-4D8E-A06E-6B6EFED0034D}" userId="S::kas2sf@bosch.com::afcd43b4-9d48-4bfd-96a5-b0a284f3bd5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ivanov Stanislav (BD/SPB-APA9)" refreshedDate="46115.631240509261" createdVersion="8" refreshedVersion="8" minRefreshableVersion="3" recordCount="58" xr:uid="{38961DFB-A8DD-4D32-872C-A77F2BA8F5AF}">
  <cacheSource type="worksheet">
    <worksheetSource name="Table42610"/>
  </cacheSource>
  <cacheFields count="39">
    <cacheField name="Team bucket" numFmtId="0">
      <sharedItems containsBlank="1"/>
    </cacheField>
    <cacheField name="New Team bucket" numFmtId="0">
      <sharedItems containsBlank="1" count="12">
        <s v="Refunding"/>
        <s v="Stretch target"/>
        <m/>
        <s v="Service Delivery OPS &amp; Support"/>
        <s v="NA ENG Team"/>
        <s v="Sys-Integration &amp; Testing"/>
        <s v="Partner Management"/>
        <s v="Supporting Functions"/>
        <s v="HW &amp; BSW"/>
        <s v="Premium Multi-Brand Data"/>
        <s v="Container App Development"/>
        <s v="System Eng. &amp; Feature Owners"/>
      </sharedItems>
    </cacheField>
    <cacheField name="New MCR ID" numFmtId="0">
      <sharedItems count="4">
        <s v="BM-00110021_003"/>
        <s v="BM-00110021_002"/>
        <s v="BM-00110021_005"/>
        <s v="BM-00110021_004"/>
      </sharedItems>
    </cacheField>
    <cacheField name="WBS" numFmtId="0">
      <sharedItems containsBlank="1"/>
    </cacheField>
    <cacheField name="Task name" numFmtId="0">
      <sharedItems count="43">
        <s v="Refunding for C-Hub main project ögP"/>
        <s v="Stretch target (budget cut)"/>
        <s v="Refunding for C-Hub XC ögP"/>
        <s v="Customer integrations"/>
        <s v="MA for vehicle configuration"/>
        <s v="RM+RD config + Cojali + Pantaris configs"/>
        <s v="Data / rev. Eng. and AI"/>
        <s v="Series Logistics Concept"/>
        <s v="NA Team + other cost"/>
        <s v="VCS SW maintance"/>
        <s v="System integration and performing V&amp;V"/>
        <s v="Operations L1/L2 Incident/Problem/Monitoring"/>
        <s v="Service Management"/>
        <s v="Service Operation EU - VI"/>
        <s v="Service Operation NA - VI"/>
        <s v="Partner Manager"/>
        <s v="EPQ"/>
        <s v="Security Manager"/>
        <s v="Support BGSW (Arun)"/>
        <s v="BD Support (Technical Documentation)"/>
        <s v="Product development lead"/>
        <s v="BD Support (PjM and Controlling)"/>
        <s v="C-Hub XC Series Care_004"/>
        <s v="C-Hub XC Series Care_005"/>
        <s v="C-Hub XC New Features"/>
        <s v="CVIT Partner Manager"/>
        <s v="ETAS-MSS Cojali"/>
        <s v="R&amp;D at Cojali"/>
        <s v="PO for Cojali"/>
        <s v="VCS R&amp;D"/>
        <s v="C-Hub XC - HW Change for RS-232, K-LINE"/>
        <s v="BD Support (Cojali &amp; CDK)"/>
        <s v="CDK development"/>
        <s v="Technical Docu Cluj"/>
        <s v="Other cost / Lab, HW etc."/>
        <s v="Customer Cloud Integration / pre-development for VI integration"/>
        <s v="E2E System Team - Requirements Eng. &amp; System development"/>
        <s v="E2E System Team - SysArch - Requirements Eng. &amp; System development"/>
        <s v="System Integration and Solution Architecture technical customer support"/>
        <s v="Managing V&amp;V"/>
        <s v="Performing V&amp;V"/>
        <s v="Installation App development"/>
        <s v="Stretch target XC"/>
      </sharedItems>
    </cacheField>
    <cacheField name="Resource group" numFmtId="0">
      <sharedItems containsBlank="1"/>
    </cacheField>
    <cacheField name="Orga new" numFmtId="0">
      <sharedItems containsBlank="1" count="13">
        <m/>
        <s v="PA-CS"/>
        <s v="ETAS"/>
        <s v="Cluj"/>
        <s v="IN"/>
        <s v="M"/>
        <s v="PA-CS/NA"/>
        <s v="VCS"/>
        <s v="Operation"/>
        <s v="BD"/>
        <s v="CV"/>
        <s v="XC"/>
        <s v="Bari"/>
      </sharedItems>
    </cacheField>
    <cacheField name="Cost type" numFmtId="0">
      <sharedItems containsBlank="1"/>
    </cacheField>
    <cacheField name="Person booking" numFmtId="0">
      <sharedItems containsBlank="1" count="29">
        <s v="(blank)"/>
        <m/>
        <s v="assumtption: 10 customer á 80k€"/>
        <s v="Dirk needed for tranfer to PS"/>
        <s v="NN"/>
        <s v="Dhingra, Manish"/>
        <s v="Weiss Patrick (PS-SC/XPS)"/>
        <s v="Sorina (support) + Bianca + Maria (200%)"/>
        <s v="Lausch, Ann Kathrin / Cluj PS-SC/ETX"/>
        <s v="Hornung, Floyd?"/>
        <s v="Ciolte Natalia Liliana (PS-SC/ETX1)"/>
        <s v="Lakshmi, Ramakrishnan"/>
        <s v="Covasa Szilard Fineas (PS-SC/EDS1) "/>
        <s v="Palanisamy, Babu"/>
        <s v="Marianne"/>
        <s v="Hodzic, Alkis -&gt; Transfer Alkis  to PS-S  -&gt; C reduces costs"/>
        <s v="Rainer, Stan"/>
        <s v="Multiple"/>
        <s v="Scholz, Sebastian"/>
        <s v="Gibayev Oleg"/>
        <s v="Birnescu Florin (PS-SC/EDS1)"/>
        <s v="Mindrean Denisa (PS-SC/EDS) --&gt; booking is done by Alin Pantea on her behalf"/>
        <s v="Modoc, Daniel Stefan"/>
        <s v="Praveen, K M"/>
        <s v=" Hategan, Liviu Ioan; Oliver J."/>
        <s v="Blohm, Christina; Frank, Kornelius"/>
        <s v="Perless, Alexander"/>
        <s v="Fagarasi, Lorand"/>
        <s v="Chirlejan, Alex Bogdan"/>
      </sharedItems>
    </cacheField>
    <cacheField name="BP26 FTE (%) - input" numFmtId="0">
      <sharedItems containsBlank="1" containsMixedTypes="1" containsNumber="1" minValue="0.25" maxValue="4"/>
    </cacheField>
    <cacheField name="Target Responsible" numFmtId="0">
      <sharedItems containsBlank="1"/>
    </cacheField>
    <cacheField name="CF02 FTE(%) - input" numFmtId="0">
      <sharedItems containsString="0" containsBlank="1" containsNumber="1" minValue="0" maxValue="2"/>
    </cacheField>
    <cacheField name="Total Hrs 2026" numFmtId="0">
      <sharedItems containsString="0" containsBlank="1" containsNumber="1" containsInteger="1" minValue="1419" maxValue="1872"/>
    </cacheField>
    <cacheField name="Rate 2026" numFmtId="167">
      <sharedItems containsString="0" containsBlank="1" containsNumber="1" minValue="21.07" maxValue="172.8"/>
    </cacheField>
    <cacheField name="Personnel costs " numFmtId="167">
      <sharedItems containsString="0" containsBlank="1" containsNumber="1" minValue="0" maxValue="846283.82608695643"/>
    </cacheField>
    <cacheField name="C-Hub PF" numFmtId="0">
      <sharedItems containsString="0" containsBlank="1" containsNumber="1" minValue="-330000" maxValue="940241.92000000004"/>
    </cacheField>
    <cacheField name="C-Hub Cust Ext" numFmtId="167">
      <sharedItems containsString="0" containsBlank="1" containsNumber="1" minValue="0" maxValue="423141.91304347821"/>
    </cacheField>
    <cacheField name="CF02 C-Hub PF" numFmtId="167">
      <sharedItems containsString="0" containsBlank="1" containsNumber="1" minValue="-400000" maxValue="1052369.315548874"/>
    </cacheField>
    <cacheField name="CF02 C-Hub Cust Ext" numFmtId="0">
      <sharedItems containsString="0" containsBlank="1" containsNumber="1" minValue="30000" maxValue="423141.91304347821"/>
    </cacheField>
    <cacheField name="CF05 C-Hub PF" numFmtId="167">
      <sharedItems containsString="0" containsBlank="1" containsNumber="1" minValue="-400000" maxValue="1095000"/>
    </cacheField>
    <cacheField name="CF05 C-Hub Cust Ext" numFmtId="167">
      <sharedItems containsString="0" containsBlank="1" containsNumber="1" minValue="30000" maxValue="423141.91304347821"/>
    </cacheField>
    <cacheField name="Comments" numFmtId="0">
      <sharedItems containsBlank="1"/>
    </cacheField>
    <cacheField name="Act Jan-25" numFmtId="0">
      <sharedItems containsString="0" containsBlank="1" containsNumber="1" minValue="203.7" maxValue="51609.372325424003"/>
    </cacheField>
    <cacheField name="Act Feb-25" numFmtId="0">
      <sharedItems containsString="0" containsBlank="1" containsNumber="1" minValue="800.57759999999996" maxValue="71813"/>
    </cacheField>
    <cacheField name="Act Mar-25" numFmtId="0">
      <sharedItems containsString="0" containsBlank="1" containsNumber="1" minValue="0" maxValue="183000"/>
    </cacheField>
    <cacheField name="Act Apr-25" numFmtId="167">
      <sharedItems containsString="0" containsBlank="1" containsNumber="1" minValue="0" maxValue="91250"/>
    </cacheField>
    <cacheField name="Act May-25" numFmtId="167">
      <sharedItems containsString="0" containsBlank="1" containsNumber="1" minValue="0" maxValue="91250"/>
    </cacheField>
    <cacheField name="Act Jun-25" numFmtId="167">
      <sharedItems containsString="0" containsBlank="1" containsNumber="1" minValue="0" maxValue="91250"/>
    </cacheField>
    <cacheField name="Act Jul-25" numFmtId="167">
      <sharedItems containsString="0" containsBlank="1" containsNumber="1" minValue="0" maxValue="91250"/>
    </cacheField>
    <cacheField name="Act Aug-25" numFmtId="167">
      <sharedItems containsString="0" containsBlank="1" containsNumber="1" minValue="0" maxValue="91250"/>
    </cacheField>
    <cacheField name="Act Sep-25" numFmtId="167">
      <sharedItems containsString="0" containsBlank="1" containsNumber="1" minValue="0" maxValue="91250"/>
    </cacheField>
    <cacheField name="Act Oct-25" numFmtId="167">
      <sharedItems containsString="0" containsBlank="1" containsNumber="1" minValue="0" maxValue="91250"/>
    </cacheField>
    <cacheField name="Act Nov-25" numFmtId="167">
      <sharedItems containsString="0" containsBlank="1" containsNumber="1" minValue="0" maxValue="91250"/>
    </cacheField>
    <cacheField name="Act Dec-25" numFmtId="167">
      <sharedItems containsString="0" containsBlank="1" containsNumber="1" minValue="0" maxValue="91250"/>
    </cacheField>
    <cacheField name="YTD Actuals 2025" numFmtId="167">
      <sharedItems containsSemiMixedTypes="0" containsString="0" containsNumber="1" minValue="0" maxValue="183000"/>
    </cacheField>
    <cacheField name="BAC (CF05 Plan)" numFmtId="167">
      <sharedItems containsSemiMixedTypes="0" containsString="0" containsNumber="1" minValue="-400000" maxValue="1095000"/>
    </cacheField>
    <cacheField name="EAC (based on YTD actuals)" numFmtId="167">
      <sharedItems containsString="0" containsBlank="1" containsNumber="1" minValue="-330000" maxValue="975412.02979754005"/>
    </cacheField>
    <cacheField name="Gap" numFmtId="167">
      <sharedItems containsString="0" containsBlank="1" containsNumber="1" minValue="-148000" maxValue="400000"/>
    </cacheField>
    <cacheField name="Column1" numFmtId="167">
      <sharedItems containsNonDate="0" containsString="0" containsBlank="1"/>
    </cacheField>
  </cacheFields>
  <extLst>
    <ext xmlns:x14="http://schemas.microsoft.com/office/spreadsheetml/2009/9/main" uri="{725AE2AE-9491-48be-B2B4-4EB974FC3084}">
      <x14:pivotCacheDefinition pivotCacheId="7934309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ivanov Stanislav (BD/SPB-APA9)" refreshedDate="46127.743722222222" createdVersion="8" refreshedVersion="8" minRefreshableVersion="3" recordCount="52" xr:uid="{11204061-CEE0-4B9B-B8FC-A120F44FC645}">
  <cacheSource type="worksheet">
    <worksheetSource ref="B50:I102" sheet="Risk-Tracking"/>
  </cacheSource>
  <cacheFields count="8">
    <cacheField name="Task Name" numFmtId="0">
      <sharedItems containsBlank="1" count="44">
        <s v="Stretch target (budget cut)"/>
        <s v="Stretch target XC"/>
        <s v="PO for Cojali"/>
        <s v="VCS R&amp;D"/>
        <s v="ETAS-MSS Cojali"/>
        <s v="E2E System Team - SysArch - Requirements Eng. &amp; System development"/>
        <s v="Customer Cloud Integration / pre-development for VI integration"/>
        <s v="Security Manager"/>
        <s v="Performing V&amp;V"/>
        <s v="Product development lead"/>
        <s v="Service Management"/>
        <s v="Partner Manager"/>
        <s v="System Integration and Solution Architecture technical customer support"/>
        <s v="NA Team + other cost"/>
        <s v="Series Logistics Concept"/>
        <s v="Data / rev. Eng. and AI"/>
        <s v="C-Hub XC - HW Change for RS-232, K-LINE"/>
        <s v="C-Hub XC New Features"/>
        <s v="Refunding for C-Hub XC ögP"/>
        <s v="BD Support (Cojali &amp; CDK)"/>
        <s v="BD Support (Technical Documentation)"/>
        <s v="Customer integrations"/>
        <s v="Installation App development"/>
        <s v="CVIT Partner Manager"/>
        <s v="Refunding for C-Hub main project ögP"/>
        <s v="BD Support (PjM and Controlling)"/>
        <s v="Support BGSW (Arun)"/>
        <s v="Managing V&amp;V"/>
        <s v="E2E System Team - Requirements Eng. &amp; System development"/>
        <s v="EPQ"/>
        <s v="Operations L1/L2 Incident/Problem/Monitoring"/>
        <s v="Other cost / Lab, HW etc."/>
        <s v="Technical Docu Cluj"/>
        <s v="Service Operation EU - VI"/>
        <s v="Service Operation NA - VI"/>
        <s v="R&amp;D at Cojali"/>
        <s v="CDK development"/>
        <s v="RM+RD config + Cojali + Pantaris configs"/>
        <s v="System integration and performing V&amp;V"/>
        <s v="MA for vehicle configuration"/>
        <s v="C-Hub XC Series Care_005"/>
        <s v="C-Hub XC Series Care_004"/>
        <s v="VCS SW maintance"/>
        <m/>
      </sharedItems>
    </cacheField>
    <cacheField name="CF05 C-Hub PF" numFmtId="167">
      <sharedItems containsString="0" containsBlank="1" containsNumber="1" minValue="-400000" maxValue="1095000"/>
    </cacheField>
    <cacheField name="Estimated at completion (Gap as number)" numFmtId="167">
      <sharedItems containsString="0" containsBlank="1" containsNumber="1" minValue="0" maxValue="975412.02979754005"/>
    </cacheField>
    <cacheField name="Gap (Prognosis vs. Plan)" numFmtId="167">
      <sharedItems containsString="0" containsBlank="1" containsNumber="1" minValue="-148000" maxValue="423141.942028986"/>
    </cacheField>
    <cacheField name="Mapping to existing risk?" numFmtId="0">
      <sharedItems containsBlank="1" count="25">
        <s v="Budget cut CF02"/>
        <s v="BP26 (BM-00107793_002) -&gt; C-Hub XC New Features"/>
        <s v="BP26 (BM-00107793_002)-&gt;VCS R&amp;D"/>
        <s v="BP26 (BM-00107793_002)-&gt;ETAS-MSS Cojali"/>
        <s v="Gap is not mapped to risk"/>
        <s v="BP26 (BM-00107793_002)-&gt;Partner Manager"/>
        <s v="BP26 (BM-00107793_002)-&gt;NA Team + other cost"/>
        <m/>
        <s v="BP26 (BM-00107793_002)-&gt;Customer integrations"/>
        <s v="Refunding ögP"/>
        <s v="BP26 (BM-00107793_002)-&gt;Operations L1/L2 Incident/Problem/Monitoring"/>
        <s v="BP26 (BM-00107793_002)-&gt;Other cost / Lab, HW etc."/>
        <s v="BP26 (BM-00107793_002)-&gt;Service Operation EU - VI"/>
        <s v="BP26 (BM-00107793_002)-&gt;Service Operation NA - VI"/>
        <s v="BP26 (BM-00107793_002)-&gt;R&amp;D at Cojali"/>
        <s v="BP26 (BM-00107793_002)-&gt;MA for vehicle configuration"/>
        <s v="Service Improvements (Fleet Session 02.2026)"/>
        <s v="Unplanned additional effort ViaScience"/>
        <s v="Propietary CAN Messages Volvo for Remodul"/>
        <s v="Additional effort WoW"/>
        <s v="Penske additional effort secure cloud connection"/>
        <s v="CARB CTC Certification"/>
        <s v="Antenna Homologation"/>
        <s v="Mexico Certification"/>
        <s v="NA (currently not booking)"/>
      </sharedItems>
    </cacheField>
    <cacheField name="Exisitng risk amount" numFmtId="167">
      <sharedItems containsString="0" containsBlank="1" containsNumber="1" minValue="10000" maxValue="423141.91304347821"/>
    </cacheField>
    <cacheField name="Uncovered risk amount" numFmtId="167">
      <sharedItems containsSemiMixedTypes="0" containsString="0" containsNumber="1" minValue="-310000.00000000017" maxValue="152000.00000000012"/>
    </cacheField>
    <cacheField name="Risk reasoning" numFmtId="167">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ivanov Stanislav (BD/SPB-APA9)" refreshedDate="46127.748602777778" createdVersion="8" refreshedVersion="8" minRefreshableVersion="3" recordCount="52" xr:uid="{2369DA7C-4811-48F5-B302-3D8F00ACED07}">
  <cacheSource type="worksheet">
    <worksheetSource ref="B50:K102" sheet="Risk-Tracking"/>
  </cacheSource>
  <cacheFields count="10">
    <cacheField name="Task Name" numFmtId="0">
      <sharedItems containsBlank="1" count="44">
        <s v="Stretch target (budget cut)"/>
        <s v="Stretch target XC"/>
        <s v="PO for Cojali"/>
        <s v="VCS R&amp;D"/>
        <s v="ETAS-MSS Cojali"/>
        <s v="E2E System Team - SysArch - Requirements Eng. &amp; System development"/>
        <s v="Customer Cloud Integration / pre-development for VI integration"/>
        <s v="Security Manager"/>
        <s v="Performing V&amp;V"/>
        <s v="Product development lead"/>
        <s v="Service Management"/>
        <s v="Partner Manager"/>
        <s v="System Integration and Solution Architecture technical customer support"/>
        <s v="NA Team + other cost"/>
        <s v="Series Logistics Concept"/>
        <s v="Data / rev. Eng. and AI"/>
        <s v="C-Hub XC - HW Change for RS-232, K-LINE"/>
        <s v="C-Hub XC New Features"/>
        <s v="Refunding for C-Hub XC ögP"/>
        <s v="BD Support (Cojali &amp; CDK)"/>
        <s v="BD Support (Technical Documentation)"/>
        <s v="Customer integrations"/>
        <s v="Installation App development"/>
        <s v="CVIT Partner Manager"/>
        <s v="Refunding for C-Hub main project ögP"/>
        <s v="BD Support (PjM and Controlling)"/>
        <s v="Support BGSW (Arun)"/>
        <s v="Managing V&amp;V"/>
        <s v="E2E System Team - Requirements Eng. &amp; System development"/>
        <s v="EPQ"/>
        <s v="Operations L1/L2 Incident/Problem/Monitoring"/>
        <s v="Other cost / Lab, HW etc."/>
        <s v="Technical Docu Cluj"/>
        <s v="Service Operation EU - VI"/>
        <s v="Service Operation NA - VI"/>
        <s v="R&amp;D at Cojali"/>
        <s v="CDK development"/>
        <s v="RM+RD config + Cojali + Pantaris configs"/>
        <s v="System integration and performing V&amp;V"/>
        <s v="MA for vehicle configuration"/>
        <s v="C-Hub XC Series Care_005"/>
        <s v="C-Hub XC Series Care_004"/>
        <s v="VCS SW maintance"/>
        <m/>
      </sharedItems>
    </cacheField>
    <cacheField name="CF05 C-Hub PF" numFmtId="167">
      <sharedItems containsString="0" containsBlank="1" containsNumber="1" minValue="-400000" maxValue="1095000"/>
    </cacheField>
    <cacheField name="Estimated at completion (Gap as number)" numFmtId="167">
      <sharedItems containsString="0" containsBlank="1" containsNumber="1" minValue="0" maxValue="975412.02979754005"/>
    </cacheField>
    <cacheField name="Gap (Prognosis vs. Plan)" numFmtId="167">
      <sharedItems containsString="0" containsBlank="1" containsNumber="1" minValue="-148000" maxValue="423141.942028986"/>
    </cacheField>
    <cacheField name="Mapping to existing risk?" numFmtId="0">
      <sharedItems containsBlank="1" count="25">
        <s v="Budget cut CF02"/>
        <s v="BP26 (BM-00107793_002) -&gt; C-Hub XC New Features"/>
        <s v="BP26 (BM-00107793_002)-&gt;VCS R&amp;D"/>
        <s v="BP26 (BM-00107793_002)-&gt;ETAS-MSS Cojali"/>
        <s v="Gap is not mapped to risk"/>
        <s v="BP26 (BM-00107793_002)-&gt;Partner Manager"/>
        <s v="BP26 (BM-00107793_002)-&gt;NA Team + other cost"/>
        <m/>
        <s v="BP26 (BM-00107793_002)-&gt;Customer integrations"/>
        <s v="Refunding ögP"/>
        <s v="BP26 (BM-00107793_002)-&gt;Operations L1/L2 Incident/Problem/Monitoring"/>
        <s v="BP26 (BM-00107793_002)-&gt;Other cost / Lab, HW etc."/>
        <s v="BP26 (BM-00107793_002)-&gt;Service Operation EU - VI"/>
        <s v="BP26 (BM-00107793_002)-&gt;Service Operation NA - VI"/>
        <s v="BP26 (BM-00107793_002)-&gt;R&amp;D at Cojali"/>
        <s v="BP26 (BM-00107793_002)-&gt;MA for vehicle configuration"/>
        <s v="Service Improvements (Fleet Session 02.2026)"/>
        <s v="Unplanned additional effort ViaScience"/>
        <s v="Propietary CAN Messages Volvo for Remodul"/>
        <s v="Additional effort WoW"/>
        <s v="Penske additional effort secure cloud connection"/>
        <s v="CARB CTC Certification"/>
        <s v="Antenna Homologation"/>
        <s v="Mexico Certification"/>
        <s v="NA (currently not booking)"/>
      </sharedItems>
    </cacheField>
    <cacheField name="Exisitng risk amount" numFmtId="167">
      <sharedItems containsString="0" containsBlank="1" containsNumber="1" minValue="10000" maxValue="423141.91304347821"/>
    </cacheField>
    <cacheField name="Uncovered risk amount" numFmtId="167">
      <sharedItems containsSemiMixedTypes="0" containsString="0" containsNumber="1" minValue="-310000.00000000017" maxValue="152000.00000000012"/>
    </cacheField>
    <cacheField name="Risk reasoning" numFmtId="167">
      <sharedItems containsBlank="1"/>
    </cacheField>
    <cacheField name="Risk status" numFmtId="167">
      <sharedItems containsBlank="1" count="3">
        <s v="Identified"/>
        <s v="Realized"/>
        <m/>
      </sharedItems>
    </cacheField>
    <cacheField name="Realized risk amount" numFmtId="167">
      <sharedItems containsString="0" containsBlank="1" containsNumber="1" minValue="25000" maxValue="1276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s v="Refunding"/>
    <x v="0"/>
    <x v="0"/>
    <s v="BM-00110021_003_00000006"/>
    <x v="0"/>
    <s v="PS-SC/CE-EU, CE-PE Publicly Funded Project - Refunding"/>
    <x v="0"/>
    <s v="Refunding"/>
    <x v="0"/>
    <m/>
    <m/>
    <m/>
    <m/>
    <m/>
    <m/>
    <n v="-330000"/>
    <n v="0"/>
    <n v="-330000"/>
    <m/>
    <n v="-330000"/>
    <m/>
    <m/>
    <m/>
    <m/>
    <m/>
    <m/>
    <m/>
    <m/>
    <m/>
    <m/>
    <m/>
    <m/>
    <m/>
    <m/>
    <n v="0"/>
    <n v="-330000"/>
    <n v="-330000"/>
    <n v="0"/>
    <m/>
  </r>
  <r>
    <s v="Stretch target"/>
    <x v="1"/>
    <x v="1"/>
    <m/>
    <x v="1"/>
    <s v="PS-SC/PAC Other Costs"/>
    <x v="0"/>
    <s v="Stretch target"/>
    <x v="1"/>
    <m/>
    <m/>
    <m/>
    <m/>
    <m/>
    <m/>
    <m/>
    <m/>
    <n v="-400000"/>
    <m/>
    <n v="-400000"/>
    <m/>
    <s v="Budget cut =  400k€, set initially on 27-Jan-26 in _003"/>
    <m/>
    <m/>
    <m/>
    <m/>
    <m/>
    <m/>
    <m/>
    <m/>
    <m/>
    <m/>
    <m/>
    <m/>
    <n v="0"/>
    <n v="-400000"/>
    <n v="0"/>
    <n v="400000"/>
    <m/>
  </r>
  <r>
    <s v="Refunding"/>
    <x v="0"/>
    <x v="2"/>
    <m/>
    <x v="2"/>
    <s v="PS-SC/CE-EU, CE-PE Publicly Funded Project - Refunding"/>
    <x v="0"/>
    <s v="Refunding"/>
    <x v="0"/>
    <m/>
    <m/>
    <m/>
    <m/>
    <m/>
    <m/>
    <n v="0"/>
    <n v="0"/>
    <n v="0"/>
    <m/>
    <n v="0"/>
    <m/>
    <m/>
    <m/>
    <m/>
    <n v="0"/>
    <n v="0"/>
    <n v="0"/>
    <n v="0"/>
    <n v="0"/>
    <n v="0"/>
    <n v="0"/>
    <n v="0"/>
    <n v="0"/>
    <n v="0"/>
    <n v="0"/>
    <n v="0"/>
    <n v="0"/>
    <n v="0"/>
    <m/>
  </r>
  <r>
    <s v="Customer specific effort"/>
    <x v="2"/>
    <x v="1"/>
    <m/>
    <x v="3"/>
    <s v="PS-SC/PAC Other Costs"/>
    <x v="1"/>
    <s v="Other cost"/>
    <x v="2"/>
    <m/>
    <m/>
    <m/>
    <m/>
    <m/>
    <m/>
    <n v="0"/>
    <n v="250000"/>
    <n v="0"/>
    <n v="250000"/>
    <n v="0"/>
    <n v="250000"/>
    <m/>
    <m/>
    <m/>
    <n v="0"/>
    <n v="0"/>
    <n v="0"/>
    <n v="0"/>
    <n v="0"/>
    <n v="0"/>
    <n v="0"/>
    <n v="0"/>
    <n v="0"/>
    <n v="0"/>
    <n v="0"/>
    <n v="0"/>
    <n v="0"/>
    <n v="0"/>
    <m/>
  </r>
  <r>
    <s v="Cojali Development"/>
    <x v="2"/>
    <x v="1"/>
    <s v="BM-00110021_002_00000005"/>
    <x v="4"/>
    <s v="PS-SC/PAC Other Costs"/>
    <x v="2"/>
    <s v="Other cost"/>
    <x v="3"/>
    <n v="1"/>
    <m/>
    <m/>
    <m/>
    <m/>
    <m/>
    <n v="202500"/>
    <n v="67500"/>
    <n v="210000"/>
    <n v="67500"/>
    <n v="210000"/>
    <n v="67500"/>
    <s v="PO #0087207184,  C-Hub Content &amp; Consultation Q1-Q3 2026 "/>
    <m/>
    <n v="21953.85"/>
    <n v="22181.16"/>
    <n v="23333.333333333332"/>
    <n v="23333.333333333332"/>
    <n v="23333.333333333332"/>
    <n v="23333.333333333332"/>
    <n v="23333.333333333332"/>
    <n v="23333.333333333332"/>
    <m/>
    <m/>
    <m/>
    <n v="44135.009999999995"/>
    <n v="210000"/>
    <n v="184135.01"/>
    <n v="-25864.989999999991"/>
    <m/>
  </r>
  <r>
    <s v="Cojali Development"/>
    <x v="2"/>
    <x v="1"/>
    <m/>
    <x v="4"/>
    <s v="PS-SC/PAC Other Costs"/>
    <x v="2"/>
    <s v="Manually added cost"/>
    <x v="1"/>
    <m/>
    <m/>
    <m/>
    <m/>
    <m/>
    <m/>
    <m/>
    <m/>
    <m/>
    <m/>
    <m/>
    <m/>
    <s v="For Actual only, do not plan in MCR"/>
    <n v="21953.85"/>
    <m/>
    <m/>
    <n v="0"/>
    <n v="0"/>
    <n v="0"/>
    <n v="0"/>
    <n v="0"/>
    <n v="0"/>
    <n v="0"/>
    <n v="0"/>
    <n v="0"/>
    <n v="21953.85"/>
    <n v="0"/>
    <m/>
    <m/>
    <m/>
  </r>
  <r>
    <s v="Cojali Development"/>
    <x v="2"/>
    <x v="1"/>
    <m/>
    <x v="5"/>
    <s v="PS-SC/EDS_PS-SC EDS_PS-SC_XPS"/>
    <x v="3"/>
    <s v="Personnel cost"/>
    <x v="4"/>
    <n v="1"/>
    <s v="Alkis"/>
    <n v="1"/>
    <n v="1496"/>
    <n v="52.53921568627451"/>
    <n v="78598.666666666672"/>
    <n v="78598.666666666672"/>
    <n v="0"/>
    <n v="78598.666666666672"/>
    <m/>
    <n v="78598.666666666672"/>
    <m/>
    <s v="tbd w/ Alin: who is staffed here"/>
    <m/>
    <m/>
    <m/>
    <n v="6549.8888888888896"/>
    <n v="6549.8888888888896"/>
    <n v="6549.8888888888896"/>
    <n v="6549.8888888888896"/>
    <n v="6549.8888888888896"/>
    <n v="6549.8888888888896"/>
    <n v="6549.8888888888896"/>
    <n v="6549.8888888888896"/>
    <n v="6549.8888888888896"/>
    <n v="0"/>
    <n v="78598.666666666672"/>
    <n v="58949.000000000007"/>
    <n v="-19649.666666666664"/>
    <m/>
  </r>
  <r>
    <s v="Cojali Development"/>
    <x v="3"/>
    <x v="1"/>
    <m/>
    <x v="5"/>
    <s v="MS/ECP-PS-IN_iGPM SW-Services_DP"/>
    <x v="4"/>
    <s v="Personnel cost"/>
    <x v="5"/>
    <n v="1"/>
    <s v="Ann/Alexander"/>
    <n v="1"/>
    <n v="1871"/>
    <n v="28.04"/>
    <n v="52462.84"/>
    <n v="52462.84"/>
    <n v="0"/>
    <n v="52462.84"/>
    <m/>
    <n v="52462.84"/>
    <m/>
    <m/>
    <n v="4166.1955988640002"/>
    <n v="4107.1232760479998"/>
    <n v="4146.7853241359999"/>
    <n v="4371.9033333333327"/>
    <n v="4371.9033333333327"/>
    <n v="4371.9033333333327"/>
    <n v="4371.9033333333327"/>
    <n v="4371.9033333333327"/>
    <n v="4371.9033333333327"/>
    <n v="4371.9033333333327"/>
    <n v="4371.9033333333327"/>
    <n v="4371.9033333333327"/>
    <n v="12420.104199048001"/>
    <n v="52462.84"/>
    <n v="51767.234199048005"/>
    <n v="-695.60580095199111"/>
    <m/>
  </r>
  <r>
    <s v="E2E C-Hub System Team"/>
    <x v="2"/>
    <x v="1"/>
    <m/>
    <x v="6"/>
    <s v="PS-SC/PAC Other Costs"/>
    <x v="1"/>
    <s v="Other cost"/>
    <x v="0"/>
    <s v="other cost"/>
    <m/>
    <m/>
    <m/>
    <m/>
    <m/>
    <n v="0"/>
    <n v="0"/>
    <n v="0"/>
    <m/>
    <n v="0"/>
    <m/>
    <m/>
    <m/>
    <m/>
    <n v="0"/>
    <n v="0"/>
    <n v="0"/>
    <n v="0"/>
    <n v="0"/>
    <n v="0"/>
    <n v="0"/>
    <n v="0"/>
    <n v="0"/>
    <n v="0"/>
    <n v="0"/>
    <n v="0"/>
    <n v="0"/>
    <n v="0"/>
    <m/>
  </r>
  <r>
    <s v="Other costs"/>
    <x v="2"/>
    <x v="1"/>
    <m/>
    <x v="7"/>
    <s v="PS-SC/PAC Other Costs"/>
    <x v="5"/>
    <s v="Other cost"/>
    <x v="0"/>
    <s v="other cost"/>
    <m/>
    <m/>
    <m/>
    <m/>
    <m/>
    <n v="0"/>
    <n v="0"/>
    <n v="0"/>
    <m/>
    <n v="0"/>
    <m/>
    <m/>
    <m/>
    <m/>
    <n v="0"/>
    <n v="0"/>
    <n v="0"/>
    <n v="0"/>
    <n v="0"/>
    <n v="0"/>
    <n v="0"/>
    <n v="0"/>
    <n v="0"/>
    <n v="0"/>
    <n v="0"/>
    <n v="0"/>
    <n v="0"/>
    <n v="0"/>
    <m/>
  </r>
  <r>
    <s v="NA Activities"/>
    <x v="4"/>
    <x v="1"/>
    <m/>
    <x v="8"/>
    <s v="PS-SC/EBR-NA SW Eng"/>
    <x v="6"/>
    <s v="Personnel cost"/>
    <x v="1"/>
    <n v="4"/>
    <m/>
    <n v="2"/>
    <n v="1860"/>
    <n v="113.74782608695651"/>
    <n v="846283.82608695643"/>
    <n v="423141.91304347821"/>
    <n v="423141.91304347821"/>
    <n v="423141.91304347821"/>
    <n v="423141.91304347821"/>
    <n v="423141.91304347821"/>
    <n v="423141.91304347821"/>
    <m/>
    <m/>
    <m/>
    <m/>
    <n v="35261.82608695652"/>
    <n v="35261.82608695652"/>
    <n v="35261.82608695652"/>
    <n v="35261.82608695652"/>
    <n v="35261.82608695652"/>
    <n v="35261.82608695652"/>
    <n v="35261.82608695652"/>
    <n v="35261.82608695652"/>
    <n v="35261.82608695652"/>
    <n v="0"/>
    <n v="423141.91304347821"/>
    <n v="423141.92753623187"/>
    <n v="1.4492753660306334E-2"/>
    <m/>
  </r>
  <r>
    <s v="NA Activities"/>
    <x v="4"/>
    <x v="1"/>
    <m/>
    <x v="8"/>
    <s v="PS-SC/EBR-NA SW Eng"/>
    <x v="6"/>
    <s v="Manually added cost"/>
    <x v="1"/>
    <m/>
    <m/>
    <m/>
    <m/>
    <m/>
    <m/>
    <m/>
    <m/>
    <m/>
    <m/>
    <m/>
    <m/>
    <m/>
    <n v="35261.833333333336"/>
    <n v="35261.833333333336"/>
    <n v="35261.82608695652"/>
    <n v="0"/>
    <n v="0"/>
    <n v="0"/>
    <n v="0"/>
    <n v="0"/>
    <n v="0"/>
    <n v="0"/>
    <n v="0"/>
    <n v="0"/>
    <n v="105785.4927536232"/>
    <n v="0"/>
    <m/>
    <n v="0"/>
    <m/>
  </r>
  <r>
    <s v="Cojali Development"/>
    <x v="2"/>
    <x v="1"/>
    <s v="BM-00110021_002_00000008"/>
    <x v="9"/>
    <s v="PS-SC/PAC Other Costs"/>
    <x v="7"/>
    <s v="Other cost"/>
    <x v="0"/>
    <s v="Walter/Rainer klärt mit Daniel"/>
    <m/>
    <m/>
    <m/>
    <m/>
    <m/>
    <n v="370000"/>
    <n v="0"/>
    <n v="370000"/>
    <m/>
    <n v="370000"/>
    <m/>
    <s v="27-Feb: Lates planning = 222 kEUR"/>
    <m/>
    <m/>
    <n v="37000"/>
    <n v="18500"/>
    <n v="18500"/>
    <n v="18500"/>
    <n v="18500"/>
    <n v="18500"/>
    <n v="18500"/>
    <n v="18500"/>
    <n v="18500"/>
    <n v="18500"/>
    <n v="37000"/>
    <n v="370000"/>
    <n v="222000"/>
    <n v="-148000"/>
    <m/>
  </r>
  <r>
    <s v="Cojali Development"/>
    <x v="2"/>
    <x v="1"/>
    <m/>
    <x v="9"/>
    <s v="PS-SC/PAC Other Costs"/>
    <x v="7"/>
    <s v="Manually added cost"/>
    <x v="1"/>
    <m/>
    <m/>
    <m/>
    <m/>
    <m/>
    <m/>
    <m/>
    <m/>
    <m/>
    <m/>
    <m/>
    <m/>
    <s v="For Actual only, do not plan in MCR"/>
    <m/>
    <m/>
    <n v="18500"/>
    <n v="0"/>
    <n v="0"/>
    <n v="0"/>
    <n v="0"/>
    <n v="0"/>
    <n v="0"/>
    <n v="0"/>
    <n v="0"/>
    <n v="0"/>
    <n v="18500"/>
    <n v="0"/>
    <m/>
    <m/>
    <m/>
  </r>
  <r>
    <s v="E2E C-Hub System Team"/>
    <x v="5"/>
    <x v="0"/>
    <m/>
    <x v="10"/>
    <s v="PS-SC/XPS PS-SC XPS development"/>
    <x v="1"/>
    <s v="Personnel cost"/>
    <x v="6"/>
    <n v="1"/>
    <s v="Alkis"/>
    <n v="0.5"/>
    <n v="1442"/>
    <n v="172.8"/>
    <n v="249177.60000000001"/>
    <n v="124588.8"/>
    <n v="0"/>
    <n v="124588.8"/>
    <m/>
    <n v="124588.8"/>
    <m/>
    <m/>
    <m/>
    <m/>
    <m/>
    <n v="10382.4"/>
    <n v="10382.4"/>
    <n v="10382.4"/>
    <n v="10382.4"/>
    <n v="10382.4"/>
    <n v="10382.4"/>
    <n v="10382.4"/>
    <n v="10382.4"/>
    <n v="10382.4"/>
    <n v="0"/>
    <n v="124588.8"/>
    <n v="93441.599999999991"/>
    <n v="-31147.200000000012"/>
    <m/>
  </r>
  <r>
    <s v="PjM, Biz Dev, service mng"/>
    <x v="3"/>
    <x v="1"/>
    <m/>
    <x v="11"/>
    <s v="PS-SC/EDS_PS-SC EDS_PS-SC_XPS"/>
    <x v="3"/>
    <s v="Personnel cost"/>
    <x v="7"/>
    <n v="2"/>
    <s v="Ann"/>
    <n v="1.5"/>
    <n v="1496"/>
    <n v="52.53921568627451"/>
    <n v="157197.33333333334"/>
    <n v="117898"/>
    <n v="78598.666666666672"/>
    <n v="117898"/>
    <n v="78598.666666666672"/>
    <n v="117898"/>
    <n v="78598.666666666672"/>
    <s v="tbd w/ Alin: is that working out"/>
    <n v="6137.1360000000004"/>
    <n v="14303.653120000001"/>
    <n v="6939.0463999999993"/>
    <n v="9824.8333333333339"/>
    <n v="9824.8333333333339"/>
    <n v="9824.8333333333339"/>
    <n v="9824.8333333333339"/>
    <n v="9824.8333333333339"/>
    <n v="9824.8333333333339"/>
    <n v="9824.8333333333339"/>
    <n v="9824.8333333333339"/>
    <n v="9824.8333333333339"/>
    <n v="27379.835520000001"/>
    <n v="117898"/>
    <n v="115803.33551999998"/>
    <n v="-2094.6644800000213"/>
    <m/>
  </r>
  <r>
    <s v="PjM, Biz Dev, service mng"/>
    <x v="3"/>
    <x v="1"/>
    <m/>
    <x v="12"/>
    <s v="PS-SC/ETX"/>
    <x v="3"/>
    <s v="Personnel cost"/>
    <x v="8"/>
    <n v="1"/>
    <s v="Rainer"/>
    <n v="1.0000000000000002"/>
    <n v="1550"/>
    <n v="52.53921568627451"/>
    <n v="81435.784313725497"/>
    <n v="81435.784313725497"/>
    <n v="0"/>
    <n v="81435.784313725511"/>
    <m/>
    <n v="81435.784313725511"/>
    <m/>
    <m/>
    <n v="7684.7615999999998"/>
    <n v="8165.8915200000001"/>
    <n v="6786.3153594771256"/>
    <n v="6786.3153594771256"/>
    <n v="6786.3153594771256"/>
    <n v="6786.3153594771256"/>
    <n v="6786.3153594771256"/>
    <n v="6786.3153594771256"/>
    <n v="6786.3153594771256"/>
    <n v="6786.3153594771256"/>
    <n v="6786.3153594771256"/>
    <n v="6786.3153594771256"/>
    <n v="22636.968479477124"/>
    <n v="81435.784313725511"/>
    <n v="83713.806714771272"/>
    <n v="2278.0224010457605"/>
    <m/>
  </r>
  <r>
    <s v="OPS Team EU (VI)"/>
    <x v="2"/>
    <x v="1"/>
    <s v="BM-00110021_002_00000009"/>
    <x v="13"/>
    <s v="PS-SC/PAC Other Costs"/>
    <x v="8"/>
    <s v="Other cost?"/>
    <x v="1"/>
    <s v="to be aligned with Gernot"/>
    <m/>
    <m/>
    <m/>
    <m/>
    <m/>
    <n v="50000"/>
    <n v="75000"/>
    <n v="25000"/>
    <n v="100000.00000000039"/>
    <n v="25000"/>
    <n v="100000.00000000039"/>
    <m/>
    <m/>
    <m/>
    <m/>
    <n v="2083.3333333333335"/>
    <n v="2083.3333333333335"/>
    <n v="2083.3333333333335"/>
    <n v="2083.3333333333335"/>
    <n v="2083.3333333333335"/>
    <n v="2083.3333333333335"/>
    <n v="2083.3333333333335"/>
    <n v="2083.3333333333335"/>
    <n v="2083.3333333333335"/>
    <n v="0"/>
    <n v="25000"/>
    <n v="18750"/>
    <n v="-6250"/>
    <m/>
  </r>
  <r>
    <s v="OPS Team NA (VI)"/>
    <x v="2"/>
    <x v="1"/>
    <s v="BM-00110021_002_00000010"/>
    <x v="14"/>
    <s v="PS-SC/PAC Other Costs"/>
    <x v="8"/>
    <s v="Other cost?"/>
    <x v="1"/>
    <s v="to be aligned with Gernot"/>
    <m/>
    <m/>
    <m/>
    <m/>
    <m/>
    <n v="50000"/>
    <n v="75000"/>
    <n v="25000"/>
    <n v="100000.00000000039"/>
    <n v="25000"/>
    <n v="100000.00000000039"/>
    <m/>
    <m/>
    <m/>
    <m/>
    <n v="2083.3333333333335"/>
    <n v="2083.3333333333335"/>
    <n v="2083.3333333333335"/>
    <n v="2083.3333333333335"/>
    <n v="2083.3333333333335"/>
    <n v="2083.3333333333335"/>
    <n v="2083.3333333333335"/>
    <n v="2083.3333333333335"/>
    <n v="2083.3333333333335"/>
    <n v="0"/>
    <n v="25000"/>
    <n v="18750"/>
    <n v="-6250"/>
    <m/>
  </r>
  <r>
    <s v="PjM, Biz Dev, service mng"/>
    <x v="6"/>
    <x v="0"/>
    <m/>
    <x v="15"/>
    <s v="PS-SC/PAC PAC1"/>
    <x v="1"/>
    <s v="Personnel cost"/>
    <x v="9"/>
    <n v="1"/>
    <m/>
    <n v="0.2"/>
    <n v="1419"/>
    <n v="148.50000000000003"/>
    <n v="210721.50000000003"/>
    <n v="42144.30000000001"/>
    <n v="63216.450000000004"/>
    <n v="0"/>
    <m/>
    <n v="0"/>
    <m/>
    <m/>
    <m/>
    <m/>
    <m/>
    <n v="0"/>
    <n v="0"/>
    <n v="0"/>
    <n v="0"/>
    <n v="0"/>
    <n v="0"/>
    <n v="0"/>
    <n v="0"/>
    <n v="0"/>
    <n v="0"/>
    <n v="0"/>
    <n v="0"/>
    <n v="0"/>
    <m/>
  </r>
  <r>
    <s v="PjM, Biz Dev, service mng"/>
    <x v="6"/>
    <x v="1"/>
    <m/>
    <x v="15"/>
    <s v="PS-SC/ETX"/>
    <x v="3"/>
    <s v="Personnel cost"/>
    <x v="10"/>
    <m/>
    <s v="Rainer"/>
    <n v="0.5"/>
    <n v="1550"/>
    <n v="52.53921568627451"/>
    <n v="0"/>
    <m/>
    <m/>
    <n v="40717.892156862748"/>
    <n v="40717.892156862748"/>
    <n v="40717.892156862748"/>
    <n v="40717.892156862748"/>
    <m/>
    <n v="3201.9839999999999"/>
    <n v="4056.2598399999997"/>
    <n v="4590.4460799999997"/>
    <n v="3393.1576797385624"/>
    <n v="3393.1576797385624"/>
    <n v="3393.1576797385624"/>
    <n v="3393.1576797385624"/>
    <n v="3393.1576797385624"/>
    <n v="3393.1576797385624"/>
    <n v="3393.1576797385624"/>
    <n v="3393.1576797385624"/>
    <n v="3393.1576797385624"/>
    <n v="11848.689919999999"/>
    <n v="40717.892156862748"/>
    <n v="42387.109037647075"/>
    <n v="1669.2168807843263"/>
    <m/>
  </r>
  <r>
    <s v="Cojali Development"/>
    <x v="7"/>
    <x v="1"/>
    <m/>
    <x v="16"/>
    <s v="MS/ECP-PS-IN_iGPM SW-Services_DP"/>
    <x v="4"/>
    <s v="Personnel cost"/>
    <x v="11"/>
    <n v="0.35"/>
    <m/>
    <n v="0.5"/>
    <n v="1871"/>
    <n v="28.04"/>
    <n v="18361.993999999995"/>
    <n v="18361.993999999995"/>
    <n v="0"/>
    <n v="26231.42"/>
    <m/>
    <n v="26231.42"/>
    <m/>
    <m/>
    <n v="1602.3829226400001"/>
    <n v="1842.9399315600001"/>
    <n v="1860.7370044199999"/>
    <n v="2185.9516666666664"/>
    <n v="2185.9516666666664"/>
    <n v="2185.9516666666664"/>
    <n v="2185.9516666666664"/>
    <n v="2185.9516666666664"/>
    <n v="2185.9516666666664"/>
    <n v="2185.9516666666664"/>
    <n v="2185.9516666666664"/>
    <n v="2185.9516666666664"/>
    <n v="5306.0598586200003"/>
    <n v="26231.42"/>
    <n v="24979.624858620002"/>
    <n v="-1251.7951413799965"/>
    <m/>
  </r>
  <r>
    <s v="Cojali Development"/>
    <x v="7"/>
    <x v="1"/>
    <m/>
    <x v="17"/>
    <s v="PS-SC/EDS_PS-SC EDS_PS-SC_XPS"/>
    <x v="4"/>
    <s v="Personnel cost"/>
    <x v="12"/>
    <n v="0.25"/>
    <s v="Lakshmi"/>
    <n v="0.25"/>
    <n v="1496"/>
    <n v="52.53921568627451"/>
    <n v="19649.666666666668"/>
    <n v="19649.666666666668"/>
    <n v="0"/>
    <n v="19649.666666666668"/>
    <m/>
    <n v="19649.666666666668"/>
    <m/>
    <m/>
    <n v="1387.5264"/>
    <n v="7472.0576000000001"/>
    <n v="5871.5007999999998"/>
    <n v="1637.4722222222224"/>
    <n v="1637.4722222222224"/>
    <n v="1637.4722222222224"/>
    <n v="1637.4722222222224"/>
    <n v="1637.4722222222224"/>
    <n v="1637.4722222222224"/>
    <n v="1637.4722222222224"/>
    <n v="1637.4722222222224"/>
    <n v="1637.4722222222224"/>
    <n v="14731.084800000001"/>
    <n v="19649.666666666668"/>
    <n v="29468.334800000004"/>
    <n v="9818.6681333333363"/>
    <m/>
  </r>
  <r>
    <s v="Cojali Development"/>
    <x v="7"/>
    <x v="1"/>
    <m/>
    <x v="18"/>
    <s v="MS/END-IN_iGPM Mechanical_Design_Services_W/O_CAD_SW_PS_Sensors"/>
    <x v="4"/>
    <s v="Personnel cost"/>
    <x v="13"/>
    <n v="0.5"/>
    <m/>
    <n v="0.5"/>
    <n v="1872"/>
    <n v="21.07"/>
    <n v="19721.52"/>
    <n v="19721.52"/>
    <n v="0"/>
    <n v="19721.52"/>
    <m/>
    <n v="19721.52"/>
    <m/>
    <m/>
    <n v="1574.6042002080001"/>
    <n v="1552.277949456"/>
    <n v="1567.268130792"/>
    <n v="1643.46"/>
    <n v="1643.46"/>
    <n v="1643.46"/>
    <n v="1643.46"/>
    <n v="1643.46"/>
    <n v="1643.46"/>
    <n v="1643.46"/>
    <n v="1643.46"/>
    <n v="1643.46"/>
    <n v="4694.1502804560005"/>
    <n v="19721.52"/>
    <n v="19485.290280455996"/>
    <n v="-236.22971954400418"/>
    <m/>
  </r>
  <r>
    <s v="E2E C-Hub System Team"/>
    <x v="5"/>
    <x v="1"/>
    <s v="BM-00110021_002_00000011"/>
    <x v="19"/>
    <s v="PS-SC/PAC Other Costs"/>
    <x v="9"/>
    <s v="Other cost"/>
    <x v="14"/>
    <s v="same as 2025"/>
    <m/>
    <m/>
    <m/>
    <m/>
    <m/>
    <n v="87000"/>
    <n v="0"/>
    <n v="87000"/>
    <m/>
    <n v="0"/>
    <m/>
    <s v="CF05: BD costs aggregated to BM-00110021_002_00000012"/>
    <m/>
    <m/>
    <n v="0"/>
    <n v="0"/>
    <n v="0"/>
    <n v="0"/>
    <n v="0"/>
    <n v="0"/>
    <n v="0"/>
    <n v="0"/>
    <n v="0"/>
    <n v="0"/>
    <n v="0"/>
    <n v="0"/>
    <n v="0"/>
    <n v="0"/>
    <m/>
  </r>
  <r>
    <s v="E2E C-Hub System Team"/>
    <x v="5"/>
    <x v="1"/>
    <m/>
    <x v="19"/>
    <s v="PS-SC/PAC Other Costs"/>
    <x v="9"/>
    <s v="Manually added cost"/>
    <x v="1"/>
    <m/>
    <m/>
    <m/>
    <m/>
    <m/>
    <m/>
    <m/>
    <m/>
    <m/>
    <m/>
    <m/>
    <m/>
    <s v="For Actual only, do not plan in MCR"/>
    <m/>
    <m/>
    <n v="0"/>
    <n v="0"/>
    <n v="0"/>
    <n v="0"/>
    <n v="0"/>
    <n v="0"/>
    <n v="0"/>
    <n v="0"/>
    <n v="0"/>
    <n v="0"/>
    <n v="0"/>
    <n v="0"/>
    <m/>
    <m/>
    <m/>
  </r>
  <r>
    <s v="E2E C-Hub System Team"/>
    <x v="5"/>
    <x v="0"/>
    <m/>
    <x v="20"/>
    <s v="PS-CV/EES System Engineer EES (ex CVO/ENP)"/>
    <x v="10"/>
    <s v="Personnel cost"/>
    <x v="15"/>
    <n v="1"/>
    <m/>
    <n v="1"/>
    <n v="1617"/>
    <n v="140.30000000000004"/>
    <n v="226865.10000000006"/>
    <n v="226865.10000000006"/>
    <n v="0"/>
    <n v="226865.10000000006"/>
    <m/>
    <n v="226865.10000000006"/>
    <m/>
    <m/>
    <n v="14975.621999999999"/>
    <n v="23139.679"/>
    <n v="21045"/>
    <n v="18905.425000000007"/>
    <n v="18905.425000000007"/>
    <n v="18905.425000000007"/>
    <n v="18905.425000000007"/>
    <n v="18905.425000000007"/>
    <n v="18905.425000000007"/>
    <n v="18905.425000000007"/>
    <n v="18905.425000000007"/>
    <n v="18905.425000000007"/>
    <n v="59160.300999999999"/>
    <n v="226865.10000000006"/>
    <n v="229309.12600000011"/>
    <n v="2444.0260000000417"/>
    <m/>
  </r>
  <r>
    <s v="PjM, Biz Dev, service mng"/>
    <x v="2"/>
    <x v="1"/>
    <s v="BM-00110021_002_00000012"/>
    <x v="21"/>
    <s v="PS-SC/PAC Other Costs"/>
    <x v="9"/>
    <s v="Other cost"/>
    <x v="16"/>
    <s v="other cost"/>
    <m/>
    <m/>
    <m/>
    <m/>
    <m/>
    <n v="355125"/>
    <n v="0"/>
    <n v="355125"/>
    <m/>
    <n v="578153.67200000002"/>
    <m/>
    <s v="CF05: BD costs aggregated to BM-00110021_002_00000012"/>
    <m/>
    <m/>
    <n v="183000"/>
    <n v="48179.472666666668"/>
    <n v="48179.472666666668"/>
    <n v="48179.472666666668"/>
    <n v="48179.472666666668"/>
    <n v="48179.472666666668"/>
    <n v="48179.472666666668"/>
    <n v="48179.472666666668"/>
    <n v="48179.472666666668"/>
    <n v="9717.4726666666684"/>
    <n v="183000"/>
    <n v="578153.67200000002"/>
    <n v="578153.25399999996"/>
    <n v="-0.41800000006332994"/>
    <m/>
  </r>
  <r>
    <s v="PjM, Biz Dev, service mng"/>
    <x v="2"/>
    <x v="1"/>
    <m/>
    <x v="21"/>
    <s v="PS-SC/PAC Other Costs"/>
    <x v="9"/>
    <s v="Manually added cost"/>
    <x v="1"/>
    <m/>
    <m/>
    <m/>
    <m/>
    <m/>
    <m/>
    <m/>
    <m/>
    <m/>
    <m/>
    <m/>
    <m/>
    <s v="For Actual only, do not plan in MCR"/>
    <m/>
    <m/>
    <n v="0"/>
    <n v="0"/>
    <n v="0"/>
    <n v="0"/>
    <n v="0"/>
    <n v="0"/>
    <n v="0"/>
    <n v="0"/>
    <n v="0"/>
    <n v="0"/>
    <n v="0"/>
    <n v="0"/>
    <m/>
    <m/>
    <m/>
  </r>
  <r>
    <s v="XC-CP"/>
    <x v="8"/>
    <x v="3"/>
    <m/>
    <x v="22"/>
    <s v="Various XC"/>
    <x v="11"/>
    <s v="Other cost"/>
    <x v="17"/>
    <m/>
    <m/>
    <m/>
    <m/>
    <m/>
    <m/>
    <n v="940241.92000000004"/>
    <n v="0"/>
    <n v="1052369.315548874"/>
    <m/>
    <n v="1095000"/>
    <m/>
    <s v="CF05: ~ 43k€ increase (from 1052 to 1095 k€), input Can Oezcan"/>
    <n v="51609.372325424003"/>
    <n v="52372.822052426003"/>
    <n v="50179.835419690018"/>
    <n v="91250"/>
    <n v="91250"/>
    <n v="91250"/>
    <n v="91250"/>
    <n v="91250"/>
    <n v="91250"/>
    <n v="91250"/>
    <n v="91250"/>
    <n v="91250"/>
    <n v="154162.02979754005"/>
    <n v="1095000"/>
    <n v="975412.02979754005"/>
    <n v="-119587.97020245995"/>
    <m/>
  </r>
  <r>
    <s v="XC-CP"/>
    <x v="8"/>
    <x v="2"/>
    <m/>
    <x v="23"/>
    <s v="Various XC"/>
    <x v="11"/>
    <s v="Other cost"/>
    <x v="17"/>
    <m/>
    <m/>
    <m/>
    <m/>
    <m/>
    <m/>
    <n v="711127"/>
    <n v="0"/>
    <n v="597620.65419999999"/>
    <m/>
    <n v="611000"/>
    <m/>
    <s v="CF05: ~13 k€ increase (from 598 to 611 k€), input Can Oezcan"/>
    <n v="35381.831299999998"/>
    <n v="39735.226999999992"/>
    <n v="36237.212500000001"/>
    <n v="50916.666666666664"/>
    <n v="50916.666666666664"/>
    <n v="50916.666666666664"/>
    <n v="50916.666666666664"/>
    <n v="50916.666666666664"/>
    <n v="50916.666666666664"/>
    <n v="50916.666666666664"/>
    <n v="50916.666666666664"/>
    <n v="50916.666666666664"/>
    <n v="111354.2708"/>
    <n v="611000"/>
    <n v="569604.27080000006"/>
    <n v="-41395.729199999943"/>
    <m/>
  </r>
  <r>
    <s v="XC-CP"/>
    <x v="8"/>
    <x v="3"/>
    <m/>
    <x v="24"/>
    <s v="Various XC"/>
    <x v="11"/>
    <s v="Other cost"/>
    <x v="17"/>
    <m/>
    <m/>
    <m/>
    <m/>
    <m/>
    <m/>
    <n v="0"/>
    <n v="286993.91999999998"/>
    <n v="0"/>
    <n v="286993.99999999983"/>
    <n v="0"/>
    <n v="343003.95025112602"/>
    <s v="CF05: Increased due to XC Stretch target increase"/>
    <m/>
    <m/>
    <n v="0"/>
    <n v="0"/>
    <n v="0"/>
    <n v="0"/>
    <n v="0"/>
    <n v="0"/>
    <n v="0"/>
    <n v="0"/>
    <n v="0"/>
    <n v="0"/>
    <n v="0"/>
    <n v="0"/>
    <n v="0"/>
    <n v="0"/>
    <m/>
  </r>
  <r>
    <s v="XC-CP"/>
    <x v="8"/>
    <x v="2"/>
    <m/>
    <x v="24"/>
    <s v="Various XC"/>
    <x v="11"/>
    <s v="Other cost"/>
    <x v="17"/>
    <m/>
    <m/>
    <m/>
    <m/>
    <m/>
    <m/>
    <n v="0"/>
    <n v="0"/>
    <n v="0"/>
    <m/>
    <n v="0"/>
    <m/>
    <m/>
    <m/>
    <m/>
    <n v="0"/>
    <n v="0"/>
    <n v="0"/>
    <n v="0"/>
    <n v="0"/>
    <n v="0"/>
    <n v="0"/>
    <n v="0"/>
    <n v="0"/>
    <n v="0"/>
    <n v="0"/>
    <n v="0"/>
    <n v="0"/>
    <n v="0"/>
    <m/>
  </r>
  <r>
    <s v="Cojali Development"/>
    <x v="2"/>
    <x v="1"/>
    <s v="BM-00110021_002_00000013"/>
    <x v="25"/>
    <s v="PS-SC/PAC Other Costs"/>
    <x v="12"/>
    <s v="Other cost"/>
    <x v="0"/>
    <n v="1"/>
    <m/>
    <m/>
    <m/>
    <m/>
    <m/>
    <n v="98689.339383297905"/>
    <m/>
    <n v="98689.339383297905"/>
    <m/>
    <n v="98689.339383297905"/>
    <m/>
    <m/>
    <m/>
    <m/>
    <m/>
    <n v="8224.1116152748255"/>
    <n v="8224.1116152748255"/>
    <n v="8224.1116152748255"/>
    <n v="8224.1116152748255"/>
    <n v="8224.1116152748255"/>
    <n v="8224.1116152748255"/>
    <n v="8224.1116152748255"/>
    <n v="8224.1116152748255"/>
    <n v="8224.1116152748255"/>
    <n v="0"/>
    <n v="98689.339383297905"/>
    <n v="98689.339383297935"/>
    <n v="0"/>
    <m/>
  </r>
  <r>
    <s v="Cojali Development"/>
    <x v="2"/>
    <x v="1"/>
    <m/>
    <x v="25"/>
    <s v="PS-SC/PAC Other Costs"/>
    <x v="0"/>
    <s v="Manually added cost"/>
    <x v="1"/>
    <m/>
    <m/>
    <m/>
    <m/>
    <m/>
    <m/>
    <m/>
    <m/>
    <m/>
    <m/>
    <m/>
    <m/>
    <s v="For Actual only, do not plan in MCR"/>
    <n v="8224.1116152748255"/>
    <n v="8224.1116152748255"/>
    <n v="8224.1116152748255"/>
    <n v="0"/>
    <n v="0"/>
    <n v="0"/>
    <n v="0"/>
    <n v="0"/>
    <n v="0"/>
    <n v="0"/>
    <n v="0"/>
    <n v="0"/>
    <n v="24672.334845824476"/>
    <n v="0"/>
    <m/>
    <n v="0"/>
    <m/>
  </r>
  <r>
    <s v="Cojali Development"/>
    <x v="2"/>
    <x v="1"/>
    <s v="BM-00110021_002_00000014"/>
    <x v="26"/>
    <s v="PS-SC/PAC Other Costs"/>
    <x v="2"/>
    <s v="Other cost"/>
    <x v="0"/>
    <m/>
    <m/>
    <m/>
    <m/>
    <m/>
    <m/>
    <n v="80000"/>
    <n v="70000"/>
    <n v="150000"/>
    <n v="113000.0000000001"/>
    <n v="150000"/>
    <n v="113000.0000000001"/>
    <s v="Cojali Series Integration: PO 0087209779-Q1; PO 0087211879-Q2"/>
    <m/>
    <n v="71813"/>
    <n v="68872"/>
    <m/>
    <m/>
    <m/>
    <m/>
    <m/>
    <m/>
    <m/>
    <m/>
    <m/>
    <n v="140685"/>
    <n v="150000"/>
    <n v="277605"/>
    <n v="127605"/>
    <m/>
  </r>
  <r>
    <s v="Cojali Development"/>
    <x v="2"/>
    <x v="1"/>
    <m/>
    <x v="26"/>
    <s v="PS-SC/PAC Other Costs"/>
    <x v="2"/>
    <s v="Manually added cost"/>
    <x v="1"/>
    <m/>
    <m/>
    <m/>
    <m/>
    <m/>
    <m/>
    <m/>
    <m/>
    <m/>
    <m/>
    <m/>
    <m/>
    <s v="For Actual only, do not plan in MCR"/>
    <m/>
    <m/>
    <n v="9315"/>
    <n v="42535"/>
    <n v="42535"/>
    <n v="42535"/>
    <n v="0"/>
    <n v="0"/>
    <n v="0"/>
    <n v="0"/>
    <n v="0"/>
    <n v="0"/>
    <n v="9315"/>
    <n v="0"/>
    <m/>
    <m/>
    <m/>
  </r>
  <r>
    <s v="Cojali Development"/>
    <x v="2"/>
    <x v="1"/>
    <s v="BM-00110021_002_00000015"/>
    <x v="27"/>
    <s v="PS-SC/PAC Other Costs"/>
    <x v="8"/>
    <s v="Other cost"/>
    <x v="0"/>
    <s v="other cost"/>
    <m/>
    <m/>
    <m/>
    <m/>
    <m/>
    <n v="90000"/>
    <n v="270000"/>
    <n v="60000"/>
    <n v="300000.00000000017"/>
    <n v="60000"/>
    <n v="300000.00000000017"/>
    <m/>
    <m/>
    <m/>
    <n v="5000"/>
    <n v="5000"/>
    <n v="5000"/>
    <n v="5000"/>
    <n v="5000"/>
    <n v="5000"/>
    <n v="5000"/>
    <n v="5000"/>
    <n v="5000"/>
    <n v="5000"/>
    <n v="5000"/>
    <n v="60000"/>
    <n v="50000"/>
    <n v="-10000"/>
    <m/>
  </r>
  <r>
    <s v="Cojali Development"/>
    <x v="9"/>
    <x v="1"/>
    <s v="BM-00110021_002_00000016"/>
    <x v="28"/>
    <s v="PS-SC/PAC Other Costs"/>
    <x v="7"/>
    <s v="Other cost"/>
    <x v="18"/>
    <m/>
    <s v="Target resp."/>
    <m/>
    <m/>
    <m/>
    <m/>
    <n v="180000"/>
    <n v="0"/>
    <n v="180000"/>
    <m/>
    <n v="180000"/>
    <m/>
    <s v="27-Feb: Latest plqnning = 332 kEUR"/>
    <m/>
    <m/>
    <n v="130750"/>
    <n v="22361.111111111109"/>
    <n v="22361.111111111109"/>
    <n v="22361.111111111109"/>
    <n v="22361.111111111109"/>
    <n v="22361.111111111109"/>
    <n v="22361.111111111109"/>
    <n v="22361.111111111109"/>
    <n v="22361.111111111109"/>
    <n v="22361.111111111109"/>
    <n v="130750"/>
    <n v="180000"/>
    <n v="332000.00000000012"/>
    <n v="152000.00000000012"/>
    <m/>
  </r>
  <r>
    <s v="Cojali Development"/>
    <x v="9"/>
    <x v="1"/>
    <m/>
    <x v="28"/>
    <s v="PS-SC/PAC Other Costs"/>
    <x v="7"/>
    <s v="Manually added cost"/>
    <x v="1"/>
    <m/>
    <m/>
    <m/>
    <m/>
    <m/>
    <m/>
    <m/>
    <m/>
    <m/>
    <m/>
    <m/>
    <m/>
    <s v="For Actual only, do not plan in MCR"/>
    <m/>
    <m/>
    <n v="0"/>
    <n v="0"/>
    <n v="0"/>
    <n v="0"/>
    <n v="0"/>
    <n v="0"/>
    <n v="0"/>
    <n v="0"/>
    <n v="0"/>
    <n v="0"/>
    <n v="0"/>
    <n v="0"/>
    <m/>
    <m/>
    <m/>
  </r>
  <r>
    <s v="Cojali Development"/>
    <x v="2"/>
    <x v="1"/>
    <s v="BM-00110021_002_00000017"/>
    <x v="29"/>
    <s v="PS-SC/PAC Other Costs"/>
    <x v="7"/>
    <s v="Other cost"/>
    <x v="0"/>
    <m/>
    <m/>
    <m/>
    <m/>
    <m/>
    <m/>
    <n v="682500"/>
    <n v="292500"/>
    <n v="682500"/>
    <n v="292500"/>
    <n v="682500"/>
    <n v="292500"/>
    <s v="27-Feb: Latest plqnning = 824 kEUR"/>
    <m/>
    <m/>
    <n v="155105"/>
    <n v="74321.666666666672"/>
    <n v="74321.666666666672"/>
    <n v="74321.666666666672"/>
    <n v="74321.666666666672"/>
    <n v="74321.666666666672"/>
    <n v="74321.666666666672"/>
    <n v="74321.666666666672"/>
    <n v="74321.666666666672"/>
    <n v="74321.666666666672"/>
    <n v="155105"/>
    <n v="682500"/>
    <n v="823999.99999999988"/>
    <n v="141499.99999999988"/>
    <m/>
  </r>
  <r>
    <s v="Cojali Development"/>
    <x v="2"/>
    <x v="1"/>
    <m/>
    <x v="29"/>
    <s v="PS-SC/PAC Other Costs"/>
    <x v="7"/>
    <s v="Manually added cost"/>
    <x v="1"/>
    <m/>
    <m/>
    <m/>
    <m/>
    <m/>
    <m/>
    <m/>
    <m/>
    <m/>
    <m/>
    <m/>
    <m/>
    <s v="For Actual only, do not plan in MCR"/>
    <m/>
    <m/>
    <m/>
    <n v="0"/>
    <n v="0"/>
    <n v="0"/>
    <n v="0"/>
    <n v="0"/>
    <n v="0"/>
    <n v="0"/>
    <n v="0"/>
    <n v="0"/>
    <n v="0"/>
    <n v="0"/>
    <m/>
    <m/>
    <m/>
  </r>
  <r>
    <s v="XC-CP"/>
    <x v="8"/>
    <x v="3"/>
    <m/>
    <x v="30"/>
    <m/>
    <x v="11"/>
    <m/>
    <x v="1"/>
    <m/>
    <m/>
    <m/>
    <m/>
    <m/>
    <m/>
    <n v="0"/>
    <n v="0"/>
    <n v="0"/>
    <m/>
    <n v="0"/>
    <m/>
    <m/>
    <m/>
    <m/>
    <n v="0"/>
    <n v="0"/>
    <n v="0"/>
    <n v="0"/>
    <n v="0"/>
    <n v="0"/>
    <n v="0"/>
    <n v="0"/>
    <n v="0"/>
    <n v="0"/>
    <n v="0"/>
    <n v="0"/>
    <n v="0"/>
    <n v="0"/>
    <m/>
  </r>
  <r>
    <s v="XC-CP"/>
    <x v="8"/>
    <x v="2"/>
    <m/>
    <x v="30"/>
    <m/>
    <x v="11"/>
    <m/>
    <x v="1"/>
    <m/>
    <m/>
    <m/>
    <m/>
    <m/>
    <m/>
    <n v="0"/>
    <n v="0"/>
    <n v="0"/>
    <m/>
    <n v="0"/>
    <m/>
    <m/>
    <m/>
    <m/>
    <n v="0"/>
    <n v="0"/>
    <n v="0"/>
    <n v="0"/>
    <n v="0"/>
    <n v="0"/>
    <n v="0"/>
    <n v="0"/>
    <n v="0"/>
    <n v="0"/>
    <n v="0"/>
    <n v="0"/>
    <n v="0"/>
    <n v="0"/>
    <m/>
  </r>
  <r>
    <s v="Cojali Development"/>
    <x v="10"/>
    <x v="1"/>
    <s v="BM-00110021_002_00000018"/>
    <x v="31"/>
    <s v="PS-SC/PAC Other Costs"/>
    <x v="9"/>
    <s v="Other cost"/>
    <x v="19"/>
    <n v="1"/>
    <s v="Alki"/>
    <m/>
    <m/>
    <m/>
    <m/>
    <n v="136028.67200000002"/>
    <n v="0"/>
    <n v="136028.67200000002"/>
    <m/>
    <n v="0"/>
    <m/>
    <s v="CF05: BD costs aggregated to BM-00110021_002_00000012"/>
    <m/>
    <m/>
    <n v="0"/>
    <n v="0"/>
    <n v="0"/>
    <n v="0"/>
    <n v="0"/>
    <n v="0"/>
    <n v="0"/>
    <n v="0"/>
    <n v="0"/>
    <n v="0"/>
    <n v="0"/>
    <n v="0"/>
    <n v="0"/>
    <n v="0"/>
    <m/>
  </r>
  <r>
    <s v="Cojali Development"/>
    <x v="10"/>
    <x v="1"/>
    <m/>
    <x v="31"/>
    <s v="PS-SC/PAC Other Costs"/>
    <x v="9"/>
    <s v="Manually added cost"/>
    <x v="1"/>
    <m/>
    <m/>
    <m/>
    <m/>
    <m/>
    <m/>
    <m/>
    <m/>
    <m/>
    <m/>
    <m/>
    <m/>
    <s v="For Actual only, do not plan in MCR"/>
    <m/>
    <m/>
    <n v="0"/>
    <n v="0"/>
    <n v="0"/>
    <n v="0"/>
    <n v="0"/>
    <n v="0"/>
    <n v="0"/>
    <n v="0"/>
    <n v="0"/>
    <n v="0"/>
    <n v="0"/>
    <n v="0"/>
    <m/>
    <m/>
    <m/>
  </r>
  <r>
    <s v="E2E C-Hub System Team"/>
    <x v="10"/>
    <x v="1"/>
    <m/>
    <x v="32"/>
    <s v="PS-SC/EDS_PS-SC EDS_PS-SC_XPS"/>
    <x v="3"/>
    <s v="Personnel cost"/>
    <x v="20"/>
    <n v="1"/>
    <s v="Alkis"/>
    <n v="1"/>
    <n v="1496"/>
    <n v="52.53921568627451"/>
    <n v="78598.666666666672"/>
    <n v="78598.666666666672"/>
    <n v="0"/>
    <n v="78598.666666666672"/>
    <m/>
    <n v="78598.666666666672"/>
    <m/>
    <m/>
    <n v="1707.7248"/>
    <n v="3415.7977599999999"/>
    <n v="2775.6185599999999"/>
    <n v="6549.8888888888896"/>
    <n v="6549.8888888888896"/>
    <n v="6549.8888888888896"/>
    <n v="6549.8888888888896"/>
    <n v="6549.8888888888896"/>
    <n v="6549.8888888888896"/>
    <n v="6549.8888888888896"/>
    <n v="6549.8888888888896"/>
    <n v="6549.8888888888896"/>
    <n v="7899.1411199999993"/>
    <n v="78598.666666666672"/>
    <n v="66848.14112"/>
    <n v="-11750.525546666671"/>
    <m/>
  </r>
  <r>
    <s v="E2E C-Hub System Team"/>
    <x v="5"/>
    <x v="1"/>
    <m/>
    <x v="33"/>
    <s v="PS-SC/EDS_PS-SC EDS_PS-SC_XPS"/>
    <x v="3"/>
    <s v="Personnel cost"/>
    <x v="21"/>
    <n v="0.5"/>
    <s v="Alkis"/>
    <n v="0.5"/>
    <n v="1496"/>
    <n v="52.53921568627451"/>
    <n v="39299.333333333336"/>
    <n v="39299.333333333336"/>
    <n v="0"/>
    <n v="39299.333333333336"/>
    <m/>
    <n v="39299.333333333336"/>
    <m/>
    <m/>
    <n v="533.66399999999999"/>
    <n v="800.57759999999996"/>
    <n v="4483.6915200000003"/>
    <n v="3274.9444444444448"/>
    <n v="3274.9444444444448"/>
    <n v="3274.9444444444448"/>
    <n v="3274.9444444444448"/>
    <n v="3274.9444444444448"/>
    <n v="3274.9444444444448"/>
    <n v="3274.9444444444448"/>
    <n v="3274.9444444444448"/>
    <n v="3274.9444444444448"/>
    <n v="5817.9331199999997"/>
    <n v="39299.333333333336"/>
    <n v="35292.433120000002"/>
    <n v="-4006.9002133333342"/>
    <m/>
  </r>
  <r>
    <s v="Other costs"/>
    <x v="2"/>
    <x v="0"/>
    <s v="BM-00110021_003_00000004"/>
    <x v="34"/>
    <s v="PS-SC/PAC Other Costs"/>
    <x v="8"/>
    <s v="Other cost"/>
    <x v="0"/>
    <s v="other cost"/>
    <m/>
    <m/>
    <m/>
    <m/>
    <m/>
    <n v="20000"/>
    <n v="30000"/>
    <n v="20000"/>
    <n v="30000"/>
    <n v="20000"/>
    <n v="30000"/>
    <m/>
    <n v="203.7"/>
    <m/>
    <n v="1666.6666666666667"/>
    <n v="1666.6666666666667"/>
    <n v="1666.6666666666667"/>
    <n v="1666.6666666666667"/>
    <n v="1666.6666666666667"/>
    <n v="1666.6666666666667"/>
    <n v="1666.6666666666667"/>
    <n v="1666.6666666666667"/>
    <n v="1666.6666666666667"/>
    <n v="1666.6666666666667"/>
    <n v="1870.3666666666668"/>
    <n v="20000"/>
    <n v="16870.366666666665"/>
    <n v="-3129.633333333335"/>
    <m/>
  </r>
  <r>
    <s v="E2E C-Hub System Team"/>
    <x v="3"/>
    <x v="1"/>
    <m/>
    <x v="35"/>
    <s v="PS-SC/EDS_PS-SC EDS_PS-SC_XPS"/>
    <x v="3"/>
    <s v="Personnel cost"/>
    <x v="22"/>
    <n v="1"/>
    <s v="Alex/Ann -  tbc"/>
    <n v="1"/>
    <n v="1496"/>
    <n v="52.53921568627451"/>
    <n v="78598.666666666672"/>
    <n v="78598.666666666672"/>
    <n v="0"/>
    <n v="78598.666666666672"/>
    <m/>
    <n v="78598.666666666672"/>
    <m/>
    <m/>
    <n v="23035.968000000001"/>
    <n v="8112.5196800000003"/>
    <n v="9394.40128"/>
    <n v="6549.8888888888896"/>
    <n v="6549.8888888888896"/>
    <n v="6549.8888888888896"/>
    <n v="6549.8888888888896"/>
    <n v="6549.8888888888896"/>
    <n v="6549.8888888888896"/>
    <n v="6549.8888888888896"/>
    <n v="6549.8888888888896"/>
    <n v="6549.8888888888896"/>
    <n v="40542.888960000004"/>
    <n v="78598.666666666672"/>
    <n v="99491.888960000011"/>
    <n v="20893.22229333334"/>
    <m/>
  </r>
  <r>
    <s v="E2E C-Hub System Team"/>
    <x v="11"/>
    <x v="1"/>
    <m/>
    <x v="36"/>
    <s v="MS/ECP-PS-IN_iGPM SW-Services_DP"/>
    <x v="4"/>
    <s v="Personnel cost"/>
    <x v="23"/>
    <n v="1"/>
    <s v="Alexander"/>
    <n v="1"/>
    <n v="1871"/>
    <n v="28.04"/>
    <n v="52462.84"/>
    <n v="52462.84"/>
    <n v="0"/>
    <n v="52462.84"/>
    <m/>
    <n v="52462.84"/>
    <m/>
    <m/>
    <n v="4166.1955988640002"/>
    <n v="4107.1232760479998"/>
    <n v="4146.7853241359999"/>
    <n v="4371.9033333333327"/>
    <n v="4371.9033333333327"/>
    <n v="4371.9033333333327"/>
    <n v="4371.9033333333327"/>
    <n v="4371.9033333333327"/>
    <n v="4371.9033333333327"/>
    <n v="4371.9033333333327"/>
    <n v="4371.9033333333327"/>
    <n v="4371.9033333333327"/>
    <n v="12420.104199048001"/>
    <n v="52462.84"/>
    <n v="51767.234199048005"/>
    <n v="-695.60580095199111"/>
    <m/>
  </r>
  <r>
    <s v="E2E C-Hub System Team"/>
    <x v="11"/>
    <x v="1"/>
    <m/>
    <x v="37"/>
    <s v="PS-SC/EDS_PS-SC EDS_PS-SC_XPS"/>
    <x v="3"/>
    <s v="Personnel cost"/>
    <x v="24"/>
    <n v="2"/>
    <s v="Alex/Alkis - tbc"/>
    <n v="2"/>
    <n v="1496"/>
    <n v="52.53921568627451"/>
    <n v="157197.33333333334"/>
    <n v="157197.33333333334"/>
    <n v="0"/>
    <n v="157197.33333333334"/>
    <m/>
    <n v="157197.33333333334"/>
    <m/>
    <s v="tbd w/ Alin: who is staffed here"/>
    <n v="20492.6976"/>
    <n v="25618.483199999999"/>
    <n v="23699.512320000002"/>
    <n v="13099.777777777779"/>
    <n v="13099.777777777779"/>
    <n v="13099.777777777779"/>
    <n v="13099.777777777779"/>
    <n v="13099.777777777779"/>
    <n v="13099.777777777779"/>
    <n v="13099.777777777779"/>
    <n v="13099.777777777779"/>
    <n v="13099.777777777779"/>
    <n v="69810.693120000011"/>
    <n v="157197.33333333334"/>
    <n v="187708.69312000004"/>
    <n v="30511.359786666697"/>
    <m/>
  </r>
  <r>
    <s v="E2E C-Hub System Team"/>
    <x v="5"/>
    <x v="0"/>
    <m/>
    <x v="10"/>
    <s v="PS-CV/EES System Engineer EES (ex CVO/ENP)"/>
    <x v="10"/>
    <s v="Personnel cost"/>
    <x v="25"/>
    <n v="1"/>
    <s v="Alkis"/>
    <n v="0.31642466948734849"/>
    <n v="1617"/>
    <n v="140.30000000000004"/>
    <n v="226865.10000000006"/>
    <n v="71785.71428571429"/>
    <n v="0"/>
    <n v="71785.714285714275"/>
    <m/>
    <n v="71785.714285714275"/>
    <m/>
    <m/>
    <n v="5752.3"/>
    <n v="6874.7"/>
    <n v="12346.4"/>
    <n v="5982.142857142856"/>
    <n v="5982.142857142856"/>
    <n v="5982.142857142856"/>
    <n v="5982.142857142856"/>
    <n v="5982.142857142856"/>
    <n v="5982.142857142856"/>
    <n v="5982.142857142856"/>
    <n v="5982.142857142856"/>
    <n v="5982.142857142856"/>
    <n v="24973.4"/>
    <n v="71785.714285714275"/>
    <n v="78812.685714285704"/>
    <n v="7026.971428571429"/>
    <m/>
  </r>
  <r>
    <s v="E2E C-Hub System Team"/>
    <x v="3"/>
    <x v="0"/>
    <m/>
    <x v="38"/>
    <s v="PS-SC/PAC PAC1"/>
    <x v="1"/>
    <s v="Personnel cost"/>
    <x v="26"/>
    <n v="1"/>
    <s v="Target resp."/>
    <n v="1"/>
    <n v="1419"/>
    <n v="148.50000000000003"/>
    <n v="210721.50000000003"/>
    <n v="210721.50000000003"/>
    <m/>
    <n v="210721.50000000003"/>
    <m/>
    <n v="210721.50000000003"/>
    <m/>
    <m/>
    <n v="19750.5"/>
    <n v="11768.625"/>
    <n v="21235.5"/>
    <n v="17560.125000000004"/>
    <n v="17560.125000000004"/>
    <n v="17560.125000000004"/>
    <n v="17560.125000000004"/>
    <n v="17560.125000000004"/>
    <n v="17560.125000000004"/>
    <n v="17560.125000000004"/>
    <n v="17560.125000000004"/>
    <n v="17560.125000000004"/>
    <n v="52754.625"/>
    <n v="210721.50000000003"/>
    <n v="210795.75"/>
    <n v="74.249999999970896"/>
    <m/>
  </r>
  <r>
    <s v="E2E C-Hub System Team"/>
    <x v="5"/>
    <x v="1"/>
    <m/>
    <x v="39"/>
    <s v="PS-SC/ETX V&amp;V CE Other Cust. Proj."/>
    <x v="3"/>
    <s v="Personnel cost"/>
    <x v="27"/>
    <n v="1"/>
    <s v="Alkis - tbc"/>
    <n v="1"/>
    <n v="1550"/>
    <n v="52.54"/>
    <n v="81437"/>
    <n v="81437"/>
    <n v="0"/>
    <n v="81437"/>
    <m/>
    <n v="81437"/>
    <m/>
    <m/>
    <n v="6724.1664000000001"/>
    <n v="3842.7724799999996"/>
    <n v="9394.40128"/>
    <n v="6786.416666666667"/>
    <n v="6786.416666666667"/>
    <n v="6786.416666666667"/>
    <n v="6786.416666666667"/>
    <n v="6786.416666666667"/>
    <n v="6786.416666666667"/>
    <n v="6786.416666666667"/>
    <n v="6786.416666666667"/>
    <n v="6786.416666666667"/>
    <n v="19961.34016"/>
    <n v="81437"/>
    <n v="81039.090160000007"/>
    <n v="-397.90983999999298"/>
    <m/>
  </r>
  <r>
    <s v="E2E C-Hub System Team"/>
    <x v="5"/>
    <x v="1"/>
    <m/>
    <x v="40"/>
    <s v="PS-SC/ETX V&amp;V CE Other Cust. Proj."/>
    <x v="3"/>
    <s v="Personnel cost"/>
    <x v="28"/>
    <n v="1"/>
    <s v="Alkis - tbc"/>
    <n v="1"/>
    <n v="1550"/>
    <n v="52.54"/>
    <n v="81437"/>
    <n v="81437"/>
    <n v="0"/>
    <n v="81437"/>
    <m/>
    <n v="81437"/>
    <m/>
    <m/>
    <n v="6403.9679999999998"/>
    <n v="8539.4943999999996"/>
    <n v="9394.40128"/>
    <n v="6786.416666666667"/>
    <n v="6786.416666666667"/>
    <n v="6786.416666666667"/>
    <n v="6786.416666666667"/>
    <n v="6786.416666666667"/>
    <n v="6786.416666666667"/>
    <n v="6786.416666666667"/>
    <n v="6786.416666666667"/>
    <n v="6786.416666666667"/>
    <n v="24337.863680000002"/>
    <n v="81437"/>
    <n v="85415.613680000009"/>
    <n v="3978.6136800000095"/>
    <m/>
  </r>
  <r>
    <m/>
    <x v="2"/>
    <x v="1"/>
    <m/>
    <x v="41"/>
    <s v="PS-SC/PAC Other Costs"/>
    <x v="8"/>
    <s v="Other cost"/>
    <x v="1"/>
    <m/>
    <m/>
    <m/>
    <m/>
    <m/>
    <m/>
    <n v="0"/>
    <n v="0"/>
    <n v="0"/>
    <m/>
    <n v="0"/>
    <m/>
    <m/>
    <m/>
    <m/>
    <n v="0"/>
    <n v="0"/>
    <n v="0"/>
    <n v="0"/>
    <n v="0"/>
    <n v="0"/>
    <n v="0"/>
    <n v="0"/>
    <n v="0"/>
    <n v="0"/>
    <n v="0"/>
    <n v="0"/>
    <n v="0"/>
    <n v="0"/>
    <m/>
  </r>
  <r>
    <s v="XC-CP"/>
    <x v="1"/>
    <x v="3"/>
    <m/>
    <x v="42"/>
    <s v="PS-SC/PAC Other Costs"/>
    <x v="11"/>
    <s v="Stretch target"/>
    <x v="1"/>
    <m/>
    <m/>
    <n v="0"/>
    <m/>
    <m/>
    <m/>
    <n v="-286993.91999999998"/>
    <n v="0"/>
    <n v="-286993.91999999998"/>
    <m/>
    <n v="-343003.95025112602"/>
    <m/>
    <s v="CF05: Stretch target increased to compensate for the XC increase"/>
    <m/>
    <m/>
    <n v="0"/>
    <n v="0"/>
    <n v="0"/>
    <n v="0"/>
    <n v="0"/>
    <n v="0"/>
    <n v="0"/>
    <n v="0"/>
    <n v="0"/>
    <n v="0"/>
    <n v="0"/>
    <n v="-343003.95025112602"/>
    <n v="0"/>
    <n v="343003.9502511260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n v="-400000"/>
    <n v="0"/>
    <n v="400000"/>
    <x v="0"/>
    <n v="400000"/>
    <n v="0"/>
    <s v="No real cost saving measures for 400 K€ defined."/>
  </r>
  <r>
    <x v="1"/>
    <n v="-343003.95025112602"/>
    <n v="0"/>
    <n v="343003.95025112602"/>
    <x v="1"/>
    <n v="343003.95025112602"/>
    <n v="0"/>
    <s v="No real cost saving measures for 343 K€ defined."/>
  </r>
  <r>
    <x v="2"/>
    <n v="180000"/>
    <n v="332000.00000000012"/>
    <n v="152000.00000000012"/>
    <x v="2"/>
    <m/>
    <n v="152000.00000000012"/>
    <s v="VCS total cost 1378 K€"/>
  </r>
  <r>
    <x v="3"/>
    <n v="682500"/>
    <n v="823999.99999999988"/>
    <n v="141499.99999999988"/>
    <x v="2"/>
    <n v="292500"/>
    <n v="-151000.00000000012"/>
    <s v="VCS total cost 1378 K€"/>
  </r>
  <r>
    <x v="4"/>
    <n v="150000"/>
    <n v="277605"/>
    <n v="127605"/>
    <x v="3"/>
    <n v="113000.0000000001"/>
    <n v="14604.999999999898"/>
    <m/>
  </r>
  <r>
    <x v="5"/>
    <n v="157197.33333333334"/>
    <n v="187708.69312000004"/>
    <n v="30511.359786666697"/>
    <x v="4"/>
    <m/>
    <n v="30511.359786666697"/>
    <m/>
  </r>
  <r>
    <x v="6"/>
    <n v="78598.666666666672"/>
    <n v="99491.888960000011"/>
    <n v="20893.22229333334"/>
    <x v="4"/>
    <m/>
    <n v="20893.22229333334"/>
    <m/>
  </r>
  <r>
    <x v="7"/>
    <n v="19649.666666666668"/>
    <n v="29468.334800000004"/>
    <n v="9818.6681333333363"/>
    <x v="4"/>
    <m/>
    <n v="9818.6681333333363"/>
    <m/>
  </r>
  <r>
    <x v="8"/>
    <n v="81437"/>
    <n v="85415.613680000009"/>
    <n v="3978.6136800000095"/>
    <x v="4"/>
    <m/>
    <n v="3978.6136800000095"/>
    <m/>
  </r>
  <r>
    <x v="9"/>
    <n v="226865.10000000006"/>
    <n v="229309.12600000011"/>
    <n v="2444.0260000000417"/>
    <x v="4"/>
    <m/>
    <n v="2444.0260000000417"/>
    <m/>
  </r>
  <r>
    <x v="10"/>
    <n v="81435.784313725511"/>
    <n v="83713.806714771272"/>
    <n v="2278.0224010457605"/>
    <x v="4"/>
    <m/>
    <n v="2278.0224010457605"/>
    <m/>
  </r>
  <r>
    <x v="11"/>
    <n v="40717.892156862748"/>
    <n v="42387.109037647075"/>
    <n v="1669.2168807843263"/>
    <x v="5"/>
    <n v="40717.892156862748"/>
    <n v="-39048.675276078422"/>
    <m/>
  </r>
  <r>
    <x v="12"/>
    <n v="210721.50000000003"/>
    <n v="210795.75"/>
    <n v="74.249999999970896"/>
    <x v="4"/>
    <m/>
    <n v="74.249999999970896"/>
    <m/>
  </r>
  <r>
    <x v="13"/>
    <n v="423141.91304347798"/>
    <n v="846283.85507246398"/>
    <n v="423141.942028986"/>
    <x v="6"/>
    <n v="423141.91304347821"/>
    <n v="2.8985507786273956E-2"/>
    <m/>
  </r>
  <r>
    <x v="14"/>
    <n v="0"/>
    <n v="0"/>
    <n v="0"/>
    <x v="7"/>
    <m/>
    <n v="0"/>
    <m/>
  </r>
  <r>
    <x v="15"/>
    <n v="0"/>
    <n v="0"/>
    <n v="0"/>
    <x v="7"/>
    <m/>
    <n v="0"/>
    <m/>
  </r>
  <r>
    <x v="16"/>
    <n v="0"/>
    <n v="0"/>
    <n v="0"/>
    <x v="7"/>
    <m/>
    <n v="0"/>
    <m/>
  </r>
  <r>
    <x v="17"/>
    <n v="0"/>
    <n v="0"/>
    <n v="0"/>
    <x v="7"/>
    <m/>
    <n v="0"/>
    <m/>
  </r>
  <r>
    <x v="18"/>
    <n v="0"/>
    <n v="0"/>
    <n v="0"/>
    <x v="7"/>
    <m/>
    <n v="0"/>
    <m/>
  </r>
  <r>
    <x v="19"/>
    <n v="0"/>
    <n v="0"/>
    <n v="0"/>
    <x v="7"/>
    <m/>
    <n v="0"/>
    <m/>
  </r>
  <r>
    <x v="20"/>
    <n v="0"/>
    <n v="0"/>
    <n v="0"/>
    <x v="7"/>
    <m/>
    <n v="0"/>
    <m/>
  </r>
  <r>
    <x v="21"/>
    <n v="0"/>
    <n v="0"/>
    <n v="0"/>
    <x v="8"/>
    <n v="250000"/>
    <n v="-250000"/>
    <m/>
  </r>
  <r>
    <x v="22"/>
    <n v="0"/>
    <n v="0"/>
    <n v="0"/>
    <x v="7"/>
    <m/>
    <n v="0"/>
    <m/>
  </r>
  <r>
    <x v="23"/>
    <n v="98689.339383297905"/>
    <n v="98689.339383297935"/>
    <n v="0"/>
    <x v="7"/>
    <m/>
    <n v="0"/>
    <m/>
  </r>
  <r>
    <x v="24"/>
    <n v="-330000"/>
    <n v="0"/>
    <n v="330000"/>
    <x v="9"/>
    <n v="330000"/>
    <n v="0"/>
    <m/>
  </r>
  <r>
    <x v="25"/>
    <n v="578153.67200000002"/>
    <n v="578153.25399999996"/>
    <n v="-0.41800000006332994"/>
    <x v="7"/>
    <m/>
    <n v="-0.41800000006332994"/>
    <m/>
  </r>
  <r>
    <x v="26"/>
    <n v="19721.52"/>
    <n v="19485.290280455996"/>
    <n v="-236.22971954400418"/>
    <x v="4"/>
    <m/>
    <n v="-236.22971954400418"/>
    <m/>
  </r>
  <r>
    <x v="27"/>
    <n v="81437"/>
    <n v="81039.090160000007"/>
    <n v="-397.90983999999298"/>
    <x v="4"/>
    <m/>
    <n v="-397.90983999999298"/>
    <m/>
  </r>
  <r>
    <x v="28"/>
    <n v="52462.84"/>
    <n v="51767.234199048005"/>
    <n v="-695.60580095199111"/>
    <x v="4"/>
    <m/>
    <n v="-695.60580095199111"/>
    <m/>
  </r>
  <r>
    <x v="29"/>
    <n v="26231.42"/>
    <n v="24979.624858620002"/>
    <n v="-1251.7951413799965"/>
    <x v="4"/>
    <m/>
    <n v="-1251.7951413799965"/>
    <m/>
  </r>
  <r>
    <x v="30"/>
    <n v="117898"/>
    <n v="115803.33551999998"/>
    <n v="-2094.6644800000213"/>
    <x v="10"/>
    <n v="78598.666666666672"/>
    <n v="-80693.331146666693"/>
    <m/>
  </r>
  <r>
    <x v="31"/>
    <n v="20000"/>
    <n v="16870.366666666665"/>
    <n v="-3129.633333333335"/>
    <x v="11"/>
    <n v="30000"/>
    <n v="-33129.633333333331"/>
    <m/>
  </r>
  <r>
    <x v="32"/>
    <n v="39299.333333333336"/>
    <n v="35292.433120000002"/>
    <n v="-4006.9002133333342"/>
    <x v="4"/>
    <m/>
    <n v="-4006.9002133333342"/>
    <m/>
  </r>
  <r>
    <x v="33"/>
    <n v="25000"/>
    <n v="18750"/>
    <n v="-6250"/>
    <x v="12"/>
    <n v="100000"/>
    <n v="-106250"/>
    <m/>
  </r>
  <r>
    <x v="34"/>
    <n v="25000"/>
    <n v="18750"/>
    <n v="-6250"/>
    <x v="13"/>
    <n v="100000"/>
    <n v="-106250"/>
    <m/>
  </r>
  <r>
    <x v="35"/>
    <n v="60000"/>
    <n v="50000"/>
    <n v="-10000"/>
    <x v="14"/>
    <n v="300000.00000000017"/>
    <n v="-310000.00000000017"/>
    <m/>
  </r>
  <r>
    <x v="36"/>
    <n v="78598.666666666672"/>
    <n v="66848.14112"/>
    <n v="-11750.525546666671"/>
    <x v="4"/>
    <m/>
    <n v="-11750.525546666671"/>
    <m/>
  </r>
  <r>
    <x v="37"/>
    <n v="131061.50666666667"/>
    <n v="110716.23419904802"/>
    <n v="-20345.272467618655"/>
    <x v="4"/>
    <m/>
    <n v="-20345.272467618655"/>
    <m/>
  </r>
  <r>
    <x v="38"/>
    <n v="196374.51428571428"/>
    <n v="172254.28571428568"/>
    <n v="-24120.228571428583"/>
    <x v="4"/>
    <m/>
    <n v="-24120.228571428583"/>
    <m/>
  </r>
  <r>
    <x v="39"/>
    <n v="210000"/>
    <n v="184135.01"/>
    <n v="-25864.989999999991"/>
    <x v="15"/>
    <n v="67500"/>
    <n v="-93364.989999999991"/>
    <m/>
  </r>
  <r>
    <x v="40"/>
    <n v="611000"/>
    <n v="569604.27080000006"/>
    <n v="-41395.729199999943"/>
    <x v="4"/>
    <m/>
    <n v="-41395.729199999943"/>
    <m/>
  </r>
  <r>
    <x v="41"/>
    <n v="1095000"/>
    <n v="975412.02979754005"/>
    <n v="-119587.97020245995"/>
    <x v="4"/>
    <m/>
    <n v="-119587.97020245995"/>
    <m/>
  </r>
  <r>
    <x v="42"/>
    <n v="370000"/>
    <n v="222000"/>
    <n v="-148000"/>
    <x v="2"/>
    <m/>
    <n v="-148000"/>
    <s v="VCS total cost 1378 K€"/>
  </r>
  <r>
    <x v="43"/>
    <m/>
    <m/>
    <m/>
    <x v="16"/>
    <n v="230000"/>
    <n v="0"/>
    <m/>
  </r>
  <r>
    <x v="43"/>
    <m/>
    <m/>
    <m/>
    <x v="17"/>
    <n v="100000"/>
    <n v="0"/>
    <m/>
  </r>
  <r>
    <x v="43"/>
    <m/>
    <m/>
    <m/>
    <x v="18"/>
    <n v="10000"/>
    <n v="0"/>
    <m/>
  </r>
  <r>
    <x v="43"/>
    <m/>
    <m/>
    <m/>
    <x v="19"/>
    <n v="100000"/>
    <n v="0"/>
    <m/>
  </r>
  <r>
    <x v="43"/>
    <m/>
    <m/>
    <m/>
    <x v="20"/>
    <n v="50000"/>
    <n v="0"/>
    <m/>
  </r>
  <r>
    <x v="43"/>
    <m/>
    <m/>
    <m/>
    <x v="21"/>
    <n v="170000"/>
    <n v="0"/>
    <m/>
  </r>
  <r>
    <x v="43"/>
    <m/>
    <m/>
    <m/>
    <x v="22"/>
    <n v="60000"/>
    <n v="0"/>
    <m/>
  </r>
  <r>
    <x v="43"/>
    <m/>
    <m/>
    <m/>
    <x v="23"/>
    <n v="50000"/>
    <n v="0"/>
    <m/>
  </r>
  <r>
    <x v="43"/>
    <m/>
    <m/>
    <m/>
    <x v="24"/>
    <n v="420000"/>
    <n v="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n v="-400000"/>
    <n v="0"/>
    <n v="400000"/>
    <x v="0"/>
    <n v="400000"/>
    <n v="0"/>
    <s v="No real cost saving measures for 400 K€ defined."/>
    <x v="0"/>
    <m/>
  </r>
  <r>
    <x v="1"/>
    <n v="-343003.95025112602"/>
    <n v="0"/>
    <n v="343003.95025112602"/>
    <x v="1"/>
    <n v="343003.95025112602"/>
    <n v="0"/>
    <s v="No real cost saving measures for 343 K€ defined."/>
    <x v="1"/>
    <n v="56009.950251126196"/>
  </r>
  <r>
    <x v="2"/>
    <n v="180000"/>
    <n v="332000.00000000012"/>
    <n v="152000.00000000012"/>
    <x v="2"/>
    <m/>
    <n v="152000.00000000012"/>
    <s v="VCS total cost 1378 K€"/>
    <x v="0"/>
    <m/>
  </r>
  <r>
    <x v="3"/>
    <n v="682500"/>
    <n v="823999.99999999988"/>
    <n v="141499.99999999988"/>
    <x v="2"/>
    <n v="292500"/>
    <n v="-151000.00000000012"/>
    <s v="VCS total cost 1378 K€"/>
    <x v="0"/>
    <m/>
  </r>
  <r>
    <x v="4"/>
    <n v="150000"/>
    <n v="277605"/>
    <n v="127605"/>
    <x v="3"/>
    <n v="113000.0000000001"/>
    <n v="14604.999999999898"/>
    <m/>
    <x v="1"/>
    <n v="127605"/>
  </r>
  <r>
    <x v="5"/>
    <n v="157197.33333333334"/>
    <n v="187708.69312000004"/>
    <n v="30511.359786666697"/>
    <x v="4"/>
    <m/>
    <n v="30511.359786666697"/>
    <m/>
    <x v="0"/>
    <m/>
  </r>
  <r>
    <x v="6"/>
    <n v="78598.666666666672"/>
    <n v="99491.888960000011"/>
    <n v="20893.22229333334"/>
    <x v="4"/>
    <m/>
    <n v="20893.22229333334"/>
    <m/>
    <x v="0"/>
    <m/>
  </r>
  <r>
    <x v="7"/>
    <n v="19649.666666666668"/>
    <n v="29468.334800000004"/>
    <n v="9818.6681333333363"/>
    <x v="4"/>
    <m/>
    <n v="9818.6681333333363"/>
    <m/>
    <x v="0"/>
    <m/>
  </r>
  <r>
    <x v="8"/>
    <n v="81437"/>
    <n v="85415.613680000009"/>
    <n v="3978.6136800000095"/>
    <x v="4"/>
    <m/>
    <n v="3978.6136800000095"/>
    <m/>
    <x v="0"/>
    <m/>
  </r>
  <r>
    <x v="9"/>
    <n v="226865.10000000006"/>
    <n v="229309.12600000011"/>
    <n v="2444.0260000000417"/>
    <x v="4"/>
    <m/>
    <n v="2444.0260000000417"/>
    <m/>
    <x v="0"/>
    <m/>
  </r>
  <r>
    <x v="10"/>
    <n v="81435.784313725511"/>
    <n v="83713.806714771272"/>
    <n v="2278.0224010457605"/>
    <x v="4"/>
    <m/>
    <n v="2278.0224010457605"/>
    <m/>
    <x v="0"/>
    <m/>
  </r>
  <r>
    <x v="11"/>
    <n v="40717.892156862748"/>
    <n v="42387.109037647075"/>
    <n v="1669.2168807843263"/>
    <x v="5"/>
    <n v="40717.892156862748"/>
    <n v="-39048.675276078422"/>
    <m/>
    <x v="0"/>
    <m/>
  </r>
  <r>
    <x v="12"/>
    <n v="210721.50000000003"/>
    <n v="210795.75"/>
    <n v="74.249999999970896"/>
    <x v="4"/>
    <m/>
    <n v="74.249999999970896"/>
    <m/>
    <x v="0"/>
    <m/>
  </r>
  <r>
    <x v="13"/>
    <n v="423141.91304347798"/>
    <n v="846283.85507246398"/>
    <n v="423141.942028986"/>
    <x v="6"/>
    <n v="423141.91304347821"/>
    <n v="2.8985507786273956E-2"/>
    <m/>
    <x v="0"/>
    <m/>
  </r>
  <r>
    <x v="14"/>
    <n v="0"/>
    <n v="0"/>
    <n v="0"/>
    <x v="7"/>
    <m/>
    <n v="0"/>
    <m/>
    <x v="2"/>
    <m/>
  </r>
  <r>
    <x v="15"/>
    <n v="0"/>
    <n v="0"/>
    <n v="0"/>
    <x v="7"/>
    <m/>
    <n v="0"/>
    <m/>
    <x v="2"/>
    <m/>
  </r>
  <r>
    <x v="16"/>
    <n v="0"/>
    <n v="0"/>
    <n v="0"/>
    <x v="7"/>
    <m/>
    <n v="0"/>
    <m/>
    <x v="2"/>
    <m/>
  </r>
  <r>
    <x v="17"/>
    <n v="0"/>
    <n v="0"/>
    <n v="0"/>
    <x v="7"/>
    <m/>
    <n v="0"/>
    <m/>
    <x v="2"/>
    <m/>
  </r>
  <r>
    <x v="18"/>
    <n v="0"/>
    <n v="0"/>
    <n v="0"/>
    <x v="7"/>
    <m/>
    <n v="0"/>
    <m/>
    <x v="2"/>
    <m/>
  </r>
  <r>
    <x v="19"/>
    <n v="0"/>
    <n v="0"/>
    <n v="0"/>
    <x v="7"/>
    <m/>
    <n v="0"/>
    <m/>
    <x v="2"/>
    <m/>
  </r>
  <r>
    <x v="20"/>
    <n v="0"/>
    <n v="0"/>
    <n v="0"/>
    <x v="7"/>
    <m/>
    <n v="0"/>
    <m/>
    <x v="2"/>
    <m/>
  </r>
  <r>
    <x v="21"/>
    <n v="0"/>
    <n v="0"/>
    <n v="0"/>
    <x v="8"/>
    <n v="250000"/>
    <n v="-250000"/>
    <m/>
    <x v="0"/>
    <m/>
  </r>
  <r>
    <x v="22"/>
    <n v="0"/>
    <n v="0"/>
    <n v="0"/>
    <x v="7"/>
    <m/>
    <n v="0"/>
    <m/>
    <x v="2"/>
    <m/>
  </r>
  <r>
    <x v="23"/>
    <n v="98689.339383297905"/>
    <n v="98689.339383297935"/>
    <n v="0"/>
    <x v="7"/>
    <m/>
    <n v="0"/>
    <m/>
    <x v="2"/>
    <m/>
  </r>
  <r>
    <x v="24"/>
    <n v="-330000"/>
    <n v="0"/>
    <n v="330000"/>
    <x v="9"/>
    <n v="330000"/>
    <n v="0"/>
    <m/>
    <x v="0"/>
    <m/>
  </r>
  <r>
    <x v="25"/>
    <n v="578153.67200000002"/>
    <n v="578153.25399999996"/>
    <n v="-0.41800000006332994"/>
    <x v="7"/>
    <m/>
    <n v="-0.41800000006332994"/>
    <m/>
    <x v="2"/>
    <m/>
  </r>
  <r>
    <x v="26"/>
    <n v="19721.52"/>
    <n v="19485.290280455996"/>
    <n v="-236.22971954400418"/>
    <x v="4"/>
    <m/>
    <n v="-236.22971954400418"/>
    <m/>
    <x v="0"/>
    <m/>
  </r>
  <r>
    <x v="27"/>
    <n v="81437"/>
    <n v="81039.090160000007"/>
    <n v="-397.90983999999298"/>
    <x v="4"/>
    <m/>
    <n v="-397.90983999999298"/>
    <m/>
    <x v="0"/>
    <m/>
  </r>
  <r>
    <x v="28"/>
    <n v="52462.84"/>
    <n v="51767.234199048005"/>
    <n v="-695.60580095199111"/>
    <x v="4"/>
    <m/>
    <n v="-695.60580095199111"/>
    <m/>
    <x v="0"/>
    <m/>
  </r>
  <r>
    <x v="29"/>
    <n v="26231.42"/>
    <n v="24979.624858620002"/>
    <n v="-1251.7951413799965"/>
    <x v="4"/>
    <m/>
    <n v="-1251.7951413799965"/>
    <m/>
    <x v="0"/>
    <m/>
  </r>
  <r>
    <x v="30"/>
    <n v="117898"/>
    <n v="115803.33551999998"/>
    <n v="-2094.6644800000213"/>
    <x v="10"/>
    <n v="78598.666666666672"/>
    <n v="-80693.331146666693"/>
    <m/>
    <x v="0"/>
    <m/>
  </r>
  <r>
    <x v="31"/>
    <n v="20000"/>
    <n v="16870.366666666665"/>
    <n v="-3129.633333333335"/>
    <x v="11"/>
    <n v="30000"/>
    <n v="-33129.633333333331"/>
    <m/>
    <x v="0"/>
    <m/>
  </r>
  <r>
    <x v="32"/>
    <n v="39299.333333333336"/>
    <n v="35292.433120000002"/>
    <n v="-4006.9002133333342"/>
    <x v="4"/>
    <m/>
    <n v="-4006.9002133333342"/>
    <m/>
    <x v="0"/>
    <m/>
  </r>
  <r>
    <x v="33"/>
    <n v="25000"/>
    <n v="18750"/>
    <n v="-6250"/>
    <x v="12"/>
    <n v="100000"/>
    <n v="-106250"/>
    <m/>
    <x v="0"/>
    <m/>
  </r>
  <r>
    <x v="34"/>
    <n v="25000"/>
    <n v="18750"/>
    <n v="-6250"/>
    <x v="13"/>
    <n v="100000"/>
    <n v="-106250"/>
    <m/>
    <x v="0"/>
    <m/>
  </r>
  <r>
    <x v="35"/>
    <n v="60000"/>
    <n v="50000"/>
    <n v="-10000"/>
    <x v="14"/>
    <n v="300000.00000000017"/>
    <n v="-310000.00000000017"/>
    <m/>
    <x v="0"/>
    <m/>
  </r>
  <r>
    <x v="36"/>
    <n v="78598.666666666672"/>
    <n v="66848.14112"/>
    <n v="-11750.525546666671"/>
    <x v="4"/>
    <m/>
    <n v="-11750.525546666671"/>
    <m/>
    <x v="0"/>
    <m/>
  </r>
  <r>
    <x v="37"/>
    <n v="131061.50666666667"/>
    <n v="110716.23419904802"/>
    <n v="-20345.272467618655"/>
    <x v="4"/>
    <m/>
    <n v="-20345.272467618655"/>
    <m/>
    <x v="0"/>
    <m/>
  </r>
  <r>
    <x v="38"/>
    <n v="196374.51428571428"/>
    <n v="172254.28571428568"/>
    <n v="-24120.228571428583"/>
    <x v="4"/>
    <m/>
    <n v="-24120.228571428583"/>
    <m/>
    <x v="0"/>
    <m/>
  </r>
  <r>
    <x v="39"/>
    <n v="210000"/>
    <n v="184135.01"/>
    <n v="-25864.989999999991"/>
    <x v="15"/>
    <n v="67500"/>
    <n v="-93364.989999999991"/>
    <m/>
    <x v="0"/>
    <m/>
  </r>
  <r>
    <x v="40"/>
    <n v="611000"/>
    <n v="569604.27080000006"/>
    <n v="-41395.729199999943"/>
    <x v="4"/>
    <m/>
    <n v="-41395.729199999943"/>
    <m/>
    <x v="0"/>
    <m/>
  </r>
  <r>
    <x v="41"/>
    <n v="1095000"/>
    <n v="975412.02979754005"/>
    <n v="-119587.97020245995"/>
    <x v="4"/>
    <m/>
    <n v="-119587.97020245995"/>
    <m/>
    <x v="0"/>
    <m/>
  </r>
  <r>
    <x v="42"/>
    <n v="370000"/>
    <n v="222000"/>
    <n v="-148000"/>
    <x v="2"/>
    <m/>
    <n v="-148000"/>
    <s v="VCS total cost 1378 K€"/>
    <x v="0"/>
    <m/>
  </r>
  <r>
    <x v="43"/>
    <m/>
    <m/>
    <m/>
    <x v="16"/>
    <n v="230000"/>
    <n v="0"/>
    <m/>
    <x v="0"/>
    <m/>
  </r>
  <r>
    <x v="43"/>
    <m/>
    <m/>
    <m/>
    <x v="17"/>
    <n v="100000"/>
    <n v="0"/>
    <m/>
    <x v="0"/>
    <m/>
  </r>
  <r>
    <x v="43"/>
    <m/>
    <m/>
    <m/>
    <x v="18"/>
    <n v="10000"/>
    <n v="0"/>
    <m/>
    <x v="1"/>
    <n v="25000"/>
  </r>
  <r>
    <x v="43"/>
    <m/>
    <m/>
    <m/>
    <x v="19"/>
    <n v="100000"/>
    <n v="0"/>
    <m/>
    <x v="1"/>
    <n v="50000"/>
  </r>
  <r>
    <x v="43"/>
    <m/>
    <m/>
    <m/>
    <x v="20"/>
    <n v="50000"/>
    <n v="0"/>
    <m/>
    <x v="0"/>
    <m/>
  </r>
  <r>
    <x v="43"/>
    <m/>
    <m/>
    <m/>
    <x v="21"/>
    <n v="170000"/>
    <n v="0"/>
    <m/>
    <x v="0"/>
    <m/>
  </r>
  <r>
    <x v="43"/>
    <m/>
    <m/>
    <m/>
    <x v="22"/>
    <n v="60000"/>
    <n v="0"/>
    <m/>
    <x v="0"/>
    <m/>
  </r>
  <r>
    <x v="43"/>
    <m/>
    <m/>
    <m/>
    <x v="23"/>
    <n v="50000"/>
    <n v="0"/>
    <m/>
    <x v="0"/>
    <m/>
  </r>
  <r>
    <x v="43"/>
    <m/>
    <m/>
    <m/>
    <x v="24"/>
    <n v="420000"/>
    <n v="0"/>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AE02F2-F68E-4259-A7BD-DF643AC93E0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isks">
  <location ref="B204:F231" firstHeaderRow="0" firstDataRow="1" firstDataCol="1"/>
  <pivotFields count="10">
    <pivotField showAll="0"/>
    <pivotField showAll="0"/>
    <pivotField showAll="0"/>
    <pivotField dataField="1" showAll="0"/>
    <pivotField axis="axisRow" showAll="0">
      <items count="26">
        <item x="19"/>
        <item x="22"/>
        <item x="1"/>
        <item x="8"/>
        <item x="3"/>
        <item x="15"/>
        <item x="6"/>
        <item x="10"/>
        <item x="11"/>
        <item x="5"/>
        <item x="14"/>
        <item x="12"/>
        <item x="13"/>
        <item x="2"/>
        <item x="0"/>
        <item x="21"/>
        <item x="4"/>
        <item x="23"/>
        <item x="24"/>
        <item x="20"/>
        <item x="18"/>
        <item x="9"/>
        <item x="16"/>
        <item x="17"/>
        <item x="7"/>
        <item t="default"/>
      </items>
    </pivotField>
    <pivotField dataField="1" showAll="0"/>
    <pivotField dataField="1" numFmtId="167" showAll="0"/>
    <pivotField showAll="0"/>
    <pivotField axis="axisRow" showAll="0">
      <items count="4">
        <item x="0"/>
        <item h="1" x="2"/>
        <item x="1"/>
        <item t="default"/>
      </items>
    </pivotField>
    <pivotField dataField="1" showAll="0"/>
  </pivotFields>
  <rowFields count="2">
    <field x="8"/>
    <field x="4"/>
  </rowFields>
  <rowItems count="27">
    <i>
      <x/>
    </i>
    <i r="1">
      <x v="1"/>
    </i>
    <i r="1">
      <x v="3"/>
    </i>
    <i r="1">
      <x v="5"/>
    </i>
    <i r="1">
      <x v="6"/>
    </i>
    <i r="1">
      <x v="7"/>
    </i>
    <i r="1">
      <x v="8"/>
    </i>
    <i r="1">
      <x v="9"/>
    </i>
    <i r="1">
      <x v="10"/>
    </i>
    <i r="1">
      <x v="11"/>
    </i>
    <i r="1">
      <x v="12"/>
    </i>
    <i r="1">
      <x v="13"/>
    </i>
    <i r="1">
      <x v="14"/>
    </i>
    <i r="1">
      <x v="15"/>
    </i>
    <i r="1">
      <x v="16"/>
    </i>
    <i r="1">
      <x v="17"/>
    </i>
    <i r="1">
      <x v="18"/>
    </i>
    <i r="1">
      <x v="19"/>
    </i>
    <i r="1">
      <x v="21"/>
    </i>
    <i r="1">
      <x v="22"/>
    </i>
    <i r="1">
      <x v="23"/>
    </i>
    <i>
      <x v="2"/>
    </i>
    <i r="1">
      <x/>
    </i>
    <i r="1">
      <x v="2"/>
    </i>
    <i r="1">
      <x v="4"/>
    </i>
    <i r="1">
      <x v="20"/>
    </i>
    <i t="grand">
      <x/>
    </i>
  </rowItems>
  <colFields count="1">
    <field x="-2"/>
  </colFields>
  <colItems count="4">
    <i>
      <x/>
    </i>
    <i i="1">
      <x v="1"/>
    </i>
    <i i="2">
      <x v="2"/>
    </i>
    <i i="3">
      <x v="3"/>
    </i>
  </colItems>
  <dataFields count="4">
    <dataField name="Sum of Gap (Prognosis vs. Plan)" fld="3" baseField="0" baseItem="0"/>
    <dataField name="Sum of Exisitng risk amount" fld="5" baseField="0" baseItem="0"/>
    <dataField name="Sum of Uncovered risk amount" fld="6" baseField="0" baseItem="0" numFmtId="167"/>
    <dataField name="Sum of Realized risk amount" fld="9" baseField="0" baseItem="0"/>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15329A-475B-4553-9287-19315E525A0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pping Financial risk &lt;-&gt; Task">
  <location ref="B108:E186" firstHeaderRow="0" firstDataRow="1" firstDataCol="1"/>
  <pivotFields count="8">
    <pivotField axis="axisRow" showAll="0" defaultSubtotal="0">
      <items count="44">
        <item x="19"/>
        <item x="25"/>
        <item x="20"/>
        <item x="36"/>
        <item x="16"/>
        <item x="17"/>
        <item x="41"/>
        <item x="40"/>
        <item x="6"/>
        <item x="21"/>
        <item x="23"/>
        <item x="15"/>
        <item x="28"/>
        <item x="5"/>
        <item x="29"/>
        <item x="4"/>
        <item x="22"/>
        <item x="39"/>
        <item x="27"/>
        <item x="13"/>
        <item x="30"/>
        <item x="31"/>
        <item x="11"/>
        <item x="8"/>
        <item x="2"/>
        <item x="9"/>
        <item x="35"/>
        <item x="24"/>
        <item x="18"/>
        <item x="37"/>
        <item x="7"/>
        <item x="14"/>
        <item x="10"/>
        <item x="33"/>
        <item x="34"/>
        <item x="0"/>
        <item x="1"/>
        <item x="26"/>
        <item x="38"/>
        <item x="12"/>
        <item x="32"/>
        <item x="3"/>
        <item x="42"/>
        <item x="43"/>
      </items>
    </pivotField>
    <pivotField showAll="0"/>
    <pivotField showAll="0"/>
    <pivotField dataField="1" showAll="0"/>
    <pivotField axis="axisRow" showAll="0" sortType="descending">
      <items count="26">
        <item x="19"/>
        <item x="22"/>
        <item x="1"/>
        <item x="8"/>
        <item x="3"/>
        <item x="15"/>
        <item x="6"/>
        <item x="10"/>
        <item x="11"/>
        <item x="5"/>
        <item x="14"/>
        <item x="12"/>
        <item x="13"/>
        <item x="2"/>
        <item x="0"/>
        <item x="21"/>
        <item x="4"/>
        <item x="23"/>
        <item x="24"/>
        <item x="20"/>
        <item x="18"/>
        <item x="9"/>
        <item x="16"/>
        <item x="17"/>
        <item x="7"/>
        <item t="default"/>
      </items>
      <autoSortScope>
        <pivotArea dataOnly="0" outline="0" fieldPosition="0">
          <references count="1">
            <reference field="4294967294" count="1" selected="0">
              <x v="2"/>
            </reference>
          </references>
        </pivotArea>
      </autoSortScope>
    </pivotField>
    <pivotField dataField="1" showAll="0"/>
    <pivotField dataField="1" showAll="0"/>
    <pivotField showAll="0"/>
  </pivotFields>
  <rowFields count="2">
    <field x="4"/>
    <field x="0"/>
  </rowFields>
  <rowItems count="78">
    <i>
      <x v="4"/>
    </i>
    <i r="1">
      <x v="15"/>
    </i>
    <i>
      <x v="6"/>
    </i>
    <i r="1">
      <x v="19"/>
    </i>
    <i>
      <x v="17"/>
    </i>
    <i r="1">
      <x v="43"/>
    </i>
    <i>
      <x v="14"/>
    </i>
    <i r="1">
      <x v="35"/>
    </i>
    <i>
      <x v="21"/>
    </i>
    <i r="1">
      <x v="27"/>
    </i>
    <i>
      <x v="1"/>
    </i>
    <i r="1">
      <x v="43"/>
    </i>
    <i>
      <x v="15"/>
    </i>
    <i r="1">
      <x v="43"/>
    </i>
    <i>
      <x v="18"/>
    </i>
    <i r="1">
      <x v="43"/>
    </i>
    <i>
      <x v="2"/>
    </i>
    <i r="1">
      <x v="36"/>
    </i>
    <i>
      <x v="19"/>
    </i>
    <i r="1">
      <x v="43"/>
    </i>
    <i>
      <x v="20"/>
    </i>
    <i r="1">
      <x v="43"/>
    </i>
    <i>
      <x v="23"/>
    </i>
    <i r="1">
      <x v="43"/>
    </i>
    <i>
      <x v="22"/>
    </i>
    <i r="1">
      <x v="43"/>
    </i>
    <i>
      <x/>
    </i>
    <i r="1">
      <x v="43"/>
    </i>
    <i>
      <x v="24"/>
    </i>
    <i r="1">
      <x/>
    </i>
    <i r="1">
      <x v="1"/>
    </i>
    <i r="1">
      <x v="2"/>
    </i>
    <i r="1">
      <x v="4"/>
    </i>
    <i r="1">
      <x v="5"/>
    </i>
    <i r="1">
      <x v="10"/>
    </i>
    <i r="1">
      <x v="11"/>
    </i>
    <i r="1">
      <x v="16"/>
    </i>
    <i r="1">
      <x v="28"/>
    </i>
    <i r="1">
      <x v="31"/>
    </i>
    <i>
      <x v="8"/>
    </i>
    <i r="1">
      <x v="21"/>
    </i>
    <i>
      <x v="9"/>
    </i>
    <i r="1">
      <x v="22"/>
    </i>
    <i>
      <x v="7"/>
    </i>
    <i r="1">
      <x v="20"/>
    </i>
    <i>
      <x v="5"/>
    </i>
    <i r="1">
      <x v="17"/>
    </i>
    <i>
      <x v="11"/>
    </i>
    <i r="1">
      <x v="33"/>
    </i>
    <i>
      <x v="12"/>
    </i>
    <i r="1">
      <x v="34"/>
    </i>
    <i>
      <x v="13"/>
    </i>
    <i r="1">
      <x v="24"/>
    </i>
    <i r="1">
      <x v="41"/>
    </i>
    <i r="1">
      <x v="42"/>
    </i>
    <i>
      <x v="16"/>
    </i>
    <i r="1">
      <x v="3"/>
    </i>
    <i r="1">
      <x v="6"/>
    </i>
    <i r="1">
      <x v="7"/>
    </i>
    <i r="1">
      <x v="8"/>
    </i>
    <i r="1">
      <x v="12"/>
    </i>
    <i r="1">
      <x v="13"/>
    </i>
    <i r="1">
      <x v="14"/>
    </i>
    <i r="1">
      <x v="18"/>
    </i>
    <i r="1">
      <x v="23"/>
    </i>
    <i r="1">
      <x v="25"/>
    </i>
    <i r="1">
      <x v="29"/>
    </i>
    <i r="1">
      <x v="30"/>
    </i>
    <i r="1">
      <x v="32"/>
    </i>
    <i r="1">
      <x v="37"/>
    </i>
    <i r="1">
      <x v="38"/>
    </i>
    <i r="1">
      <x v="39"/>
    </i>
    <i r="1">
      <x v="40"/>
    </i>
    <i>
      <x v="3"/>
    </i>
    <i r="1">
      <x v="9"/>
    </i>
    <i>
      <x v="10"/>
    </i>
    <i r="1">
      <x v="26"/>
    </i>
    <i t="grand">
      <x/>
    </i>
  </rowItems>
  <colFields count="1">
    <field x="-2"/>
  </colFields>
  <colItems count="3">
    <i>
      <x/>
    </i>
    <i i="1">
      <x v="1"/>
    </i>
    <i i="2">
      <x v="2"/>
    </i>
  </colItems>
  <dataFields count="3">
    <dataField name="Sum of Gap (Prognosis vs. Plan)" fld="3" baseField="0" baseItem="0"/>
    <dataField name="Sum of Exisitng risk amount" fld="5" baseField="0" baseItem="0"/>
    <dataField name="Sum of Uncovered risk amount" fld="6" baseField="0" baseItem="0"/>
  </dataFields>
  <formats count="1">
    <format dxfId="76">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87697A-D744-4094-AED6-A61609EDD9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st tracking by &quot;New Team bucket&quot;">
  <location ref="A87:D100" firstHeaderRow="0" firstDataRow="1" firstDataCol="1"/>
  <pivotFields count="39">
    <pivotField showAll="0"/>
    <pivotField axis="axisRow" showAll="0">
      <items count="13">
        <item sd="0" x="10"/>
        <item sd="0" x="8"/>
        <item sd="0" x="4"/>
        <item sd="0" x="6"/>
        <item sd="0" x="9"/>
        <item sd="0" x="0"/>
        <item sd="0" x="3"/>
        <item sd="0" x="1"/>
        <item sd="0" x="7"/>
        <item sd="0" x="5"/>
        <item sd="0" x="11"/>
        <item sd="0" x="2"/>
        <item t="default" sd="0"/>
      </items>
    </pivotField>
    <pivotField showAll="0"/>
    <pivotField showAll="0"/>
    <pivotField axis="axisRow" showAll="0">
      <items count="44">
        <item x="31"/>
        <item x="21"/>
        <item x="19"/>
        <item x="32"/>
        <item sd="0" x="30"/>
        <item x="24"/>
        <item x="22"/>
        <item x="23"/>
        <item x="35"/>
        <item x="3"/>
        <item x="25"/>
        <item x="6"/>
        <item x="36"/>
        <item x="37"/>
        <item x="16"/>
        <item x="26"/>
        <item x="41"/>
        <item x="4"/>
        <item x="39"/>
        <item x="8"/>
        <item x="11"/>
        <item x="34"/>
        <item x="15"/>
        <item x="40"/>
        <item x="28"/>
        <item x="20"/>
        <item x="27"/>
        <item x="0"/>
        <item x="2"/>
        <item x="5"/>
        <item x="17"/>
        <item x="7"/>
        <item x="12"/>
        <item x="13"/>
        <item x="14"/>
        <item x="1"/>
        <item x="42"/>
        <item x="18"/>
        <item x="10"/>
        <item x="38"/>
        <item x="33"/>
        <item x="29"/>
        <item x="9"/>
        <item t="default"/>
      </items>
    </pivotField>
    <pivotField showAll="0"/>
    <pivotField axis="axisRow" showAll="0">
      <items count="14">
        <item x="12"/>
        <item x="9"/>
        <item sd="0" x="3"/>
        <item x="10"/>
        <item x="2"/>
        <item x="4"/>
        <item x="5"/>
        <item x="8"/>
        <item x="1"/>
        <item x="6"/>
        <item x="7"/>
        <item sd="0" x="11"/>
        <item x="0"/>
        <item t="default"/>
      </items>
    </pivotField>
    <pivotField showAll="0"/>
    <pivotField axis="axisRow" showAll="0">
      <items count="30">
        <item x="24"/>
        <item x="0"/>
        <item x="2"/>
        <item x="20"/>
        <item x="25"/>
        <item x="28"/>
        <item x="10"/>
        <item x="12"/>
        <item x="5"/>
        <item x="3"/>
        <item x="27"/>
        <item x="19"/>
        <item x="15"/>
        <item x="9"/>
        <item x="11"/>
        <item x="8"/>
        <item x="14"/>
        <item x="21"/>
        <item x="22"/>
        <item x="17"/>
        <item x="4"/>
        <item x="13"/>
        <item x="26"/>
        <item x="23"/>
        <item x="16"/>
        <item x="18"/>
        <item x="7"/>
        <item x="6"/>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pivotField dataField="1" showAll="0"/>
    <pivotField dataField="1" showAll="0"/>
    <pivotField showAll="0"/>
  </pivotFields>
  <rowFields count="4">
    <field x="1"/>
    <field x="4"/>
    <field x="8"/>
    <field x="6"/>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CF05 C-Hub PF" fld="19" baseField="0" baseItem="0"/>
    <dataField name="Sum of EAC (based on YTD actuals)" fld="36" baseField="0" baseItem="0"/>
    <dataField name="Gap (Porgnosis vs. Plan)" fld="37" baseField="0" baseItem="0" numFmtId="167"/>
  </dataFields>
  <formats count="1">
    <format dxfId="55">
      <pivotArea outline="0" collapsedLevelsAreSubtotals="1" fieldPosition="0"/>
    </format>
  </formats>
  <chartFormats count="4">
    <chartFormat chart="0" format="3" series="1">
      <pivotArea type="data" outline="0" fieldPosition="0">
        <references count="1">
          <reference field="4294967294" count="1" selected="0">
            <x v="2"/>
          </reference>
        </references>
      </pivotArea>
    </chartFormat>
    <chartFormat chart="5" format="29" series="1">
      <pivotArea type="data" outline="0" fieldPosition="0">
        <references count="1">
          <reference field="4294967294" count="1" selected="0">
            <x v="2"/>
          </reference>
        </references>
      </pivotArea>
    </chartFormat>
    <chartFormat chart="5" format="30" series="1">
      <pivotArea type="data" outline="0" fieldPosition="0">
        <references count="1">
          <reference field="4294967294" count="1" selected="0">
            <x v="0"/>
          </reference>
        </references>
      </pivotArea>
    </chartFormat>
    <chartFormat chart="5" format="3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1075D5-5E97-414F-81F2-846D641735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Task Name (all sub-projects)">
  <location ref="A3:D47" firstHeaderRow="0" firstDataRow="1" firstDataCol="1" rowPageCount="1" colPageCount="1"/>
  <pivotFields count="39">
    <pivotField showAll="0"/>
    <pivotField showAll="0"/>
    <pivotField axis="axisPage" multipleItemSelectionAllowed="1" showAll="0" defaultSubtotal="0">
      <items count="4">
        <item x="1"/>
        <item x="0"/>
        <item x="3"/>
        <item x="2"/>
      </items>
    </pivotField>
    <pivotField showAll="0"/>
    <pivotField axis="axisRow" showAll="0" sortType="descending">
      <items count="44">
        <item x="31"/>
        <item x="21"/>
        <item x="19"/>
        <item x="32"/>
        <item x="30"/>
        <item x="24"/>
        <item x="22"/>
        <item x="23"/>
        <item x="35"/>
        <item x="3"/>
        <item x="25"/>
        <item x="6"/>
        <item x="36"/>
        <item x="37"/>
        <item x="16"/>
        <item x="26"/>
        <item x="41"/>
        <item x="4"/>
        <item x="39"/>
        <item x="8"/>
        <item x="11"/>
        <item x="34"/>
        <item x="15"/>
        <item x="40"/>
        <item x="28"/>
        <item x="20"/>
        <item x="27"/>
        <item x="0"/>
        <item x="2"/>
        <item x="5"/>
        <item x="17"/>
        <item x="7"/>
        <item x="12"/>
        <item x="13"/>
        <item x="14"/>
        <item x="1"/>
        <item x="42"/>
        <item x="18"/>
        <item x="10"/>
        <item x="38"/>
        <item x="33"/>
        <item x="29"/>
        <item x="9"/>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pivotField dataField="1" showAll="0"/>
    <pivotField dataField="1" showAll="0"/>
    <pivotField showAll="0"/>
  </pivotFields>
  <rowFields count="1">
    <field x="4"/>
  </rowFields>
  <rowItems count="44">
    <i>
      <x v="35"/>
    </i>
    <i>
      <x v="36"/>
    </i>
    <i>
      <x v="24"/>
    </i>
    <i>
      <x v="41"/>
    </i>
    <i>
      <x v="15"/>
    </i>
    <i>
      <x v="13"/>
    </i>
    <i>
      <x v="8"/>
    </i>
    <i>
      <x v="30"/>
    </i>
    <i>
      <x v="23"/>
    </i>
    <i>
      <x v="25"/>
    </i>
    <i>
      <x v="32"/>
    </i>
    <i>
      <x v="22"/>
    </i>
    <i>
      <x v="39"/>
    </i>
    <i>
      <x v="19"/>
    </i>
    <i>
      <x v="31"/>
    </i>
    <i>
      <x v="11"/>
    </i>
    <i>
      <x v="4"/>
    </i>
    <i>
      <x v="5"/>
    </i>
    <i>
      <x v="28"/>
    </i>
    <i>
      <x/>
    </i>
    <i>
      <x v="2"/>
    </i>
    <i>
      <x v="9"/>
    </i>
    <i>
      <x v="16"/>
    </i>
    <i>
      <x v="10"/>
    </i>
    <i>
      <x v="27"/>
    </i>
    <i>
      <x v="1"/>
    </i>
    <i>
      <x v="37"/>
    </i>
    <i>
      <x v="18"/>
    </i>
    <i>
      <x v="12"/>
    </i>
    <i>
      <x v="14"/>
    </i>
    <i>
      <x v="20"/>
    </i>
    <i>
      <x v="21"/>
    </i>
    <i>
      <x v="40"/>
    </i>
    <i>
      <x v="33"/>
    </i>
    <i>
      <x v="34"/>
    </i>
    <i>
      <x v="26"/>
    </i>
    <i>
      <x v="3"/>
    </i>
    <i>
      <x v="29"/>
    </i>
    <i>
      <x v="38"/>
    </i>
    <i>
      <x v="17"/>
    </i>
    <i>
      <x v="7"/>
    </i>
    <i>
      <x v="6"/>
    </i>
    <i>
      <x v="42"/>
    </i>
    <i t="grand">
      <x/>
    </i>
  </rowItems>
  <colFields count="1">
    <field x="-2"/>
  </colFields>
  <colItems count="3">
    <i>
      <x/>
    </i>
    <i i="1">
      <x v="1"/>
    </i>
    <i i="2">
      <x v="2"/>
    </i>
  </colItems>
  <pageFields count="1">
    <pageField fld="2" hier="-1"/>
  </pageFields>
  <dataFields count="3">
    <dataField name="Sum of CF05 C-Hub PF" fld="19" baseField="0" baseItem="0"/>
    <dataField name="Estimated at completion (Gap as number)" fld="36" baseField="0" baseItem="0"/>
    <dataField name="Gap (Prognosis vs. Plan)" fld="37" baseField="0" baseItem="0" numFmtId="167"/>
  </dataFields>
  <formats count="1">
    <format dxfId="56">
      <pivotArea outline="0" collapsedLevelsAreSubtotals="1" fieldPosition="0"/>
    </format>
  </formats>
  <chartFormats count="47">
    <chartFormat chart="0" format="163" series="1">
      <pivotArea type="data" outline="0" fieldPosition="0">
        <references count="1">
          <reference field="4294967294" count="1" selected="0">
            <x v="1"/>
          </reference>
        </references>
      </pivotArea>
    </chartFormat>
    <chartFormat chart="0" format="164">
      <pivotArea type="data" outline="0" fieldPosition="0">
        <references count="2">
          <reference field="4294967294" count="1" selected="0">
            <x v="1"/>
          </reference>
          <reference field="4" count="1" selected="0">
            <x v="41"/>
          </reference>
        </references>
      </pivotArea>
    </chartFormat>
    <chartFormat chart="0" format="165">
      <pivotArea type="data" outline="0" fieldPosition="0">
        <references count="2">
          <reference field="4294967294" count="1" selected="0">
            <x v="1"/>
          </reference>
          <reference field="4" count="1" selected="0">
            <x v="19"/>
          </reference>
        </references>
      </pivotArea>
    </chartFormat>
    <chartFormat chart="0" format="166">
      <pivotArea type="data" outline="0" fieldPosition="0">
        <references count="2">
          <reference field="4294967294" count="1" selected="0">
            <x v="1"/>
          </reference>
          <reference field="4" count="1" selected="0">
            <x v="42"/>
          </reference>
        </references>
      </pivotArea>
    </chartFormat>
    <chartFormat chart="0" format="167">
      <pivotArea type="data" outline="0" fieldPosition="0">
        <references count="2">
          <reference field="4294967294" count="1" selected="0">
            <x v="1"/>
          </reference>
          <reference field="4" count="1" selected="0">
            <x v="1"/>
          </reference>
        </references>
      </pivotArea>
    </chartFormat>
    <chartFormat chart="0" format="168">
      <pivotArea type="data" outline="0" fieldPosition="0">
        <references count="2">
          <reference field="4294967294" count="1" selected="0">
            <x v="1"/>
          </reference>
          <reference field="4" count="1" selected="0">
            <x v="17"/>
          </reference>
        </references>
      </pivotArea>
    </chartFormat>
    <chartFormat chart="0" format="169">
      <pivotArea type="data" outline="0" fieldPosition="0">
        <references count="2">
          <reference field="4294967294" count="1" selected="0">
            <x v="1"/>
          </reference>
          <reference field="4" count="1" selected="0">
            <x v="24"/>
          </reference>
        </references>
      </pivotArea>
    </chartFormat>
    <chartFormat chart="0" format="170">
      <pivotArea type="data" outline="0" fieldPosition="0">
        <references count="2">
          <reference field="4294967294" count="1" selected="0">
            <x v="1"/>
          </reference>
          <reference field="4" count="1" selected="0">
            <x v="13"/>
          </reference>
        </references>
      </pivotArea>
    </chartFormat>
    <chartFormat chart="0" format="171">
      <pivotArea type="data" outline="0" fieldPosition="0">
        <references count="2">
          <reference field="4294967294" count="1" selected="0">
            <x v="1"/>
          </reference>
          <reference field="4" count="1" selected="0">
            <x v="15"/>
          </reference>
        </references>
      </pivotArea>
    </chartFormat>
    <chartFormat chart="0" format="172">
      <pivotArea type="data" outline="0" fieldPosition="0">
        <references count="2">
          <reference field="4294967294" count="1" selected="0">
            <x v="1"/>
          </reference>
          <reference field="4" count="1" selected="0">
            <x v="0"/>
          </reference>
        </references>
      </pivotArea>
    </chartFormat>
    <chartFormat chart="0" format="173">
      <pivotArea type="data" outline="0" fieldPosition="0">
        <references count="2">
          <reference field="4294967294" count="1" selected="0">
            <x v="1"/>
          </reference>
          <reference field="4" count="1" selected="0">
            <x v="29"/>
          </reference>
        </references>
      </pivotArea>
    </chartFormat>
    <chartFormat chart="0" format="174">
      <pivotArea type="data" outline="0" fieldPosition="0">
        <references count="2">
          <reference field="4294967294" count="1" selected="0">
            <x v="1"/>
          </reference>
          <reference field="4" count="1" selected="0">
            <x v="20"/>
          </reference>
        </references>
      </pivotArea>
    </chartFormat>
    <chartFormat chart="0" format="175">
      <pivotArea type="data" outline="0" fieldPosition="0">
        <references count="2">
          <reference field="4294967294" count="1" selected="0">
            <x v="1"/>
          </reference>
          <reference field="4" count="1" selected="0">
            <x v="10"/>
          </reference>
        </references>
      </pivotArea>
    </chartFormat>
    <chartFormat chart="0" format="176">
      <pivotArea type="data" outline="0" fieldPosition="0">
        <references count="2">
          <reference field="4294967294" count="1" selected="0">
            <x v="1"/>
          </reference>
          <reference field="4" count="1" selected="0">
            <x v="2"/>
          </reference>
        </references>
      </pivotArea>
    </chartFormat>
    <chartFormat chart="0" format="177">
      <pivotArea type="data" outline="0" fieldPosition="0">
        <references count="2">
          <reference field="4294967294" count="1" selected="0">
            <x v="1"/>
          </reference>
          <reference field="4" count="1" selected="0">
            <x v="18"/>
          </reference>
        </references>
      </pivotArea>
    </chartFormat>
    <chartFormat chart="0" format="178">
      <pivotArea type="data" outline="0" fieldPosition="0">
        <references count="2">
          <reference field="4294967294" count="1" selected="0">
            <x v="1"/>
          </reference>
          <reference field="4" count="1" selected="0">
            <x v="23"/>
          </reference>
        </references>
      </pivotArea>
    </chartFormat>
    <chartFormat chart="0" format="179">
      <pivotArea type="data" outline="0" fieldPosition="0">
        <references count="2">
          <reference field="4294967294" count="1" selected="0">
            <x v="1"/>
          </reference>
          <reference field="4" count="1" selected="0">
            <x v="32"/>
          </reference>
        </references>
      </pivotArea>
    </chartFormat>
    <chartFormat chart="0" format="180">
      <pivotArea type="data" outline="0" fieldPosition="0">
        <references count="2">
          <reference field="4294967294" count="1" selected="0">
            <x v="1"/>
          </reference>
          <reference field="4" count="1" selected="0">
            <x v="8"/>
          </reference>
        </references>
      </pivotArea>
    </chartFormat>
    <chartFormat chart="0" format="181">
      <pivotArea type="data" outline="0" fieldPosition="0">
        <references count="2">
          <reference field="4294967294" count="1" selected="0">
            <x v="1"/>
          </reference>
          <reference field="4" count="1" selected="0">
            <x v="3"/>
          </reference>
        </references>
      </pivotArea>
    </chartFormat>
    <chartFormat chart="0" format="182">
      <pivotArea type="data" outline="0" fieldPosition="0">
        <references count="2">
          <reference field="4294967294" count="1" selected="0">
            <x v="1"/>
          </reference>
          <reference field="4" count="1" selected="0">
            <x v="26"/>
          </reference>
        </references>
      </pivotArea>
    </chartFormat>
    <chartFormat chart="0" format="183">
      <pivotArea type="data" outline="0" fieldPosition="0">
        <references count="2">
          <reference field="4294967294" count="1" selected="0">
            <x v="1"/>
          </reference>
          <reference field="4" count="1" selected="0">
            <x v="12"/>
          </reference>
        </references>
      </pivotArea>
    </chartFormat>
    <chartFormat chart="0" format="184">
      <pivotArea type="data" outline="0" fieldPosition="0">
        <references count="2">
          <reference field="4294967294" count="1" selected="0">
            <x v="1"/>
          </reference>
          <reference field="4" count="1" selected="0">
            <x v="22"/>
          </reference>
        </references>
      </pivotArea>
    </chartFormat>
    <chartFormat chart="0" format="185">
      <pivotArea type="data" outline="0" fieldPosition="0">
        <references count="2">
          <reference field="4294967294" count="1" selected="0">
            <x v="1"/>
          </reference>
          <reference field="4" count="1" selected="0">
            <x v="40"/>
          </reference>
        </references>
      </pivotArea>
    </chartFormat>
    <chartFormat chart="0" format="186">
      <pivotArea type="data" outline="0" fieldPosition="0">
        <references count="2">
          <reference field="4294967294" count="1" selected="0">
            <x v="1"/>
          </reference>
          <reference field="4" count="1" selected="0">
            <x v="14"/>
          </reference>
        </references>
      </pivotArea>
    </chartFormat>
    <chartFormat chart="0" format="187">
      <pivotArea type="data" outline="0" fieldPosition="0">
        <references count="2">
          <reference field="4294967294" count="1" selected="0">
            <x v="1"/>
          </reference>
          <reference field="4" count="1" selected="0">
            <x v="34"/>
          </reference>
        </references>
      </pivotArea>
    </chartFormat>
    <chartFormat chart="0" format="188">
      <pivotArea type="data" outline="0" fieldPosition="0">
        <references count="2">
          <reference field="4294967294" count="1" selected="0">
            <x v="1"/>
          </reference>
          <reference field="4" count="1" selected="0">
            <x v="33"/>
          </reference>
        </references>
      </pivotArea>
    </chartFormat>
    <chartFormat chart="0" format="189">
      <pivotArea type="data" outline="0" fieldPosition="0">
        <references count="2">
          <reference field="4294967294" count="1" selected="0">
            <x v="1"/>
          </reference>
          <reference field="4" count="1" selected="0">
            <x v="37"/>
          </reference>
        </references>
      </pivotArea>
    </chartFormat>
    <chartFormat chart="0" format="190">
      <pivotArea type="data" outline="0" fieldPosition="0">
        <references count="2">
          <reference field="4294967294" count="1" selected="0">
            <x v="1"/>
          </reference>
          <reference field="4" count="1" selected="0">
            <x v="30"/>
          </reference>
        </references>
      </pivotArea>
    </chartFormat>
    <chartFormat chart="0" format="191">
      <pivotArea type="data" outline="0" fieldPosition="0">
        <references count="2">
          <reference field="4294967294" count="1" selected="0">
            <x v="1"/>
          </reference>
          <reference field="4" count="1" selected="0">
            <x v="9"/>
          </reference>
        </references>
      </pivotArea>
    </chartFormat>
    <chartFormat chart="0" format="192">
      <pivotArea type="data" outline="0" fieldPosition="0">
        <references count="2">
          <reference field="4294967294" count="1" selected="0">
            <x v="1"/>
          </reference>
          <reference field="4" count="1" selected="0">
            <x v="11"/>
          </reference>
        </references>
      </pivotArea>
    </chartFormat>
    <chartFormat chart="0" format="193">
      <pivotArea type="data" outline="0" fieldPosition="0">
        <references count="2">
          <reference field="4294967294" count="1" selected="0">
            <x v="1"/>
          </reference>
          <reference field="4" count="1" selected="0">
            <x v="31"/>
          </reference>
        </references>
      </pivotArea>
    </chartFormat>
    <chartFormat chart="0" format="194">
      <pivotArea type="data" outline="0" fieldPosition="0">
        <references count="2">
          <reference field="4294967294" count="1" selected="0">
            <x v="1"/>
          </reference>
          <reference field="4" count="1" selected="0">
            <x v="16"/>
          </reference>
        </references>
      </pivotArea>
    </chartFormat>
    <chartFormat chart="0" format="195">
      <pivotArea type="data" outline="0" fieldPosition="0">
        <references count="2">
          <reference field="4294967294" count="1" selected="0">
            <x v="1"/>
          </reference>
          <reference field="4" count="1" selected="0">
            <x v="35"/>
          </reference>
        </references>
      </pivotArea>
    </chartFormat>
    <chartFormat chart="0" format="196" series="1">
      <pivotArea type="data" outline="0" fieldPosition="0">
        <references count="1">
          <reference field="4294967294" count="1" selected="0">
            <x v="2"/>
          </reference>
        </references>
      </pivotArea>
    </chartFormat>
    <chartFormat chart="0" format="197">
      <pivotArea type="data" outline="0" fieldPosition="0">
        <references count="2">
          <reference field="4294967294" count="1" selected="0">
            <x v="1"/>
          </reference>
          <reference field="4" count="1" selected="0">
            <x v="25"/>
          </reference>
        </references>
      </pivotArea>
    </chartFormat>
    <chartFormat chart="0" format="198">
      <pivotArea type="data" outline="0" fieldPosition="0">
        <references count="2">
          <reference field="4294967294" count="1" selected="0">
            <x v="1"/>
          </reference>
          <reference field="4" count="1" selected="0">
            <x v="39"/>
          </reference>
        </references>
      </pivotArea>
    </chartFormat>
    <chartFormat chart="0" format="199">
      <pivotArea type="data" outline="0" fieldPosition="0">
        <references count="2">
          <reference field="4294967294" count="1" selected="0">
            <x v="1"/>
          </reference>
          <reference field="4" count="1" selected="0">
            <x v="38"/>
          </reference>
        </references>
      </pivotArea>
    </chartFormat>
    <chartFormat chart="0" format="200">
      <pivotArea type="data" outline="0" fieldPosition="0">
        <references count="2">
          <reference field="4294967294" count="1" selected="0">
            <x v="1"/>
          </reference>
          <reference field="4" count="1" selected="0">
            <x v="21"/>
          </reference>
        </references>
      </pivotArea>
    </chartFormat>
    <chartFormat chart="0" format="201">
      <pivotArea type="data" outline="0" fieldPosition="0">
        <references count="2">
          <reference field="4294967294" count="1" selected="0">
            <x v="1"/>
          </reference>
          <reference field="4" count="1" selected="0">
            <x v="27"/>
          </reference>
        </references>
      </pivotArea>
    </chartFormat>
    <chartFormat chart="0" format="202">
      <pivotArea type="data" outline="0" fieldPosition="0">
        <references count="2">
          <reference field="4294967294" count="1" selected="0">
            <x v="1"/>
          </reference>
          <reference field="4" count="1" selected="0">
            <x v="6"/>
          </reference>
        </references>
      </pivotArea>
    </chartFormat>
    <chartFormat chart="0" format="203">
      <pivotArea type="data" outline="0" fieldPosition="0">
        <references count="2">
          <reference field="4294967294" count="1" selected="0">
            <x v="1"/>
          </reference>
          <reference field="4" count="1" selected="0">
            <x v="7"/>
          </reference>
        </references>
      </pivotArea>
    </chartFormat>
    <chartFormat chart="0" format="204">
      <pivotArea type="data" outline="0" fieldPosition="0">
        <references count="2">
          <reference field="4294967294" count="1" selected="0">
            <x v="1"/>
          </reference>
          <reference field="4" count="1" selected="0">
            <x v="28"/>
          </reference>
        </references>
      </pivotArea>
    </chartFormat>
    <chartFormat chart="0" format="205">
      <pivotArea type="data" outline="0" fieldPosition="0">
        <references count="2">
          <reference field="4294967294" count="1" selected="0">
            <x v="1"/>
          </reference>
          <reference field="4" count="1" selected="0">
            <x v="5"/>
          </reference>
        </references>
      </pivotArea>
    </chartFormat>
    <chartFormat chart="0" format="206">
      <pivotArea type="data" outline="0" fieldPosition="0">
        <references count="2">
          <reference field="4294967294" count="1" selected="0">
            <x v="1"/>
          </reference>
          <reference field="4" count="1" selected="0">
            <x v="4"/>
          </reference>
        </references>
      </pivotArea>
    </chartFormat>
    <chartFormat chart="0" format="207">
      <pivotArea type="data" outline="0" fieldPosition="0">
        <references count="2">
          <reference field="4294967294" count="1" selected="0">
            <x v="1"/>
          </reference>
          <reference field="4" count="1" selected="0">
            <x v="36"/>
          </reference>
        </references>
      </pivotArea>
    </chartFormat>
    <chartFormat chart="0" format="208" series="1">
      <pivotArea type="data" outline="0" fieldPosition="0">
        <references count="1">
          <reference field="4294967294" count="1" selected="0">
            <x v="0"/>
          </reference>
        </references>
      </pivotArea>
    </chartFormat>
    <chartFormat chart="0" format="209">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8CC255-9358-4D98-A42A-76FEB80E0A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VCS only">
  <location ref="A75:D80" firstHeaderRow="0" firstDataRow="1" firstDataCol="1"/>
  <pivotFields count="39">
    <pivotField showAll="0"/>
    <pivotField showAll="0"/>
    <pivotField showAll="0"/>
    <pivotField showAll="0"/>
    <pivotField axis="axisRow" showAll="0">
      <items count="44">
        <item h="1" x="31"/>
        <item h="1" x="21"/>
        <item h="1" x="19"/>
        <item h="1" x="32"/>
        <item h="1" x="30"/>
        <item h="1" x="24"/>
        <item h="1" x="22"/>
        <item h="1" x="23"/>
        <item h="1" x="35"/>
        <item h="1" x="3"/>
        <item h="1" x="25"/>
        <item h="1" x="6"/>
        <item h="1" x="36"/>
        <item h="1" x="37"/>
        <item h="1" x="16"/>
        <item h="1" x="26"/>
        <item h="1" x="41"/>
        <item h="1" x="4"/>
        <item h="1" x="39"/>
        <item h="1" x="8"/>
        <item h="1" x="11"/>
        <item h="1" x="34"/>
        <item h="1" x="15"/>
        <item h="1" x="40"/>
        <item x="28"/>
        <item h="1" x="20"/>
        <item h="1" x="27"/>
        <item h="1" x="0"/>
        <item h="1" x="2"/>
        <item h="1" x="5"/>
        <item h="1" x="17"/>
        <item h="1" x="7"/>
        <item h="1" x="12"/>
        <item h="1" x="13"/>
        <item h="1" x="14"/>
        <item h="1" x="1"/>
        <item h="1" x="42"/>
        <item h="1" x="18"/>
        <item h="1" x="10"/>
        <item h="1" x="38"/>
        <item h="1" x="33"/>
        <item x="29"/>
        <item x="9"/>
        <item t="default"/>
      </items>
    </pivotField>
    <pivotField showAll="0"/>
    <pivotField axis="axisRow" multipleItemSelectionAllowed="1" showAll="0">
      <items count="14">
        <item h="1" x="12"/>
        <item h="1" x="9"/>
        <item h="1" x="3"/>
        <item h="1" x="10"/>
        <item h="1" x="2"/>
        <item h="1" x="4"/>
        <item h="1" x="5"/>
        <item h="1" x="8"/>
        <item h="1" x="1"/>
        <item h="1" x="6"/>
        <item x="7"/>
        <item h="1" x="1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pivotField dataField="1" showAll="0"/>
    <pivotField dataField="1" showAll="0"/>
    <pivotField showAll="0"/>
  </pivotFields>
  <rowFields count="2">
    <field x="6"/>
    <field x="4"/>
  </rowFields>
  <rowItems count="5">
    <i>
      <x v="10"/>
    </i>
    <i r="1">
      <x v="24"/>
    </i>
    <i r="1">
      <x v="41"/>
    </i>
    <i r="1">
      <x v="42"/>
    </i>
    <i t="grand">
      <x/>
    </i>
  </rowItems>
  <colFields count="1">
    <field x="-2"/>
  </colFields>
  <colItems count="3">
    <i>
      <x/>
    </i>
    <i i="1">
      <x v="1"/>
    </i>
    <i i="2">
      <x v="2"/>
    </i>
  </colItems>
  <dataFields count="3">
    <dataField name="Sum of CF05 C-Hub PF" fld="19" baseField="0" baseItem="0"/>
    <dataField name="Prognosis (based on YTD actuals)" fld="36" baseField="0" baseItem="0"/>
    <dataField name="Gap (Porgnosis vs. Plan)" fld="37" baseField="0" baseItem="0"/>
  </dataFields>
  <formats count="1">
    <format dxfId="57">
      <pivotArea outline="0" collapsedLevelsAreSubtotals="1" fieldPosition="0"/>
    </format>
  </format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pivotArea type="data" outline="0" fieldPosition="0">
        <references count="3">
          <reference field="4294967294" count="1" selected="0">
            <x v="1"/>
          </reference>
          <reference field="4" count="1" selected="0">
            <x v="24"/>
          </reference>
          <reference field="6" count="1" selected="0">
            <x v="10"/>
          </reference>
        </references>
      </pivotArea>
    </chartFormat>
    <chartFormat chart="2" format="4">
      <pivotArea type="data" outline="0" fieldPosition="0">
        <references count="3">
          <reference field="4294967294" count="1" selected="0">
            <x v="1"/>
          </reference>
          <reference field="4" count="1" selected="0">
            <x v="41"/>
          </reference>
          <reference field="6" count="1" selected="0">
            <x v="10"/>
          </reference>
        </references>
      </pivotArea>
    </chartFormat>
    <chartFormat chart="2" format="5">
      <pivotArea type="data" outline="0" fieldPosition="0">
        <references count="3">
          <reference field="4294967294" count="1" selected="0">
            <x v="1"/>
          </reference>
          <reference field="4" count="1" selected="0">
            <x v="42"/>
          </reference>
          <reference field="6" count="1" selected="0">
            <x v="1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F3E3B7-2228-487F-982E-47C96B48A3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XC only">
  <location ref="A59:D66" firstHeaderRow="0" firstDataRow="1" firstDataCol="1"/>
  <pivotFields count="39">
    <pivotField showAll="0"/>
    <pivotField showAll="0"/>
    <pivotField showAll="0"/>
    <pivotField showAll="0"/>
    <pivotField axis="axisRow" showAll="0">
      <items count="44">
        <item x="31"/>
        <item x="21"/>
        <item x="19"/>
        <item x="32"/>
        <item x="30"/>
        <item x="24"/>
        <item x="22"/>
        <item x="23"/>
        <item x="35"/>
        <item x="3"/>
        <item x="25"/>
        <item x="6"/>
        <item x="36"/>
        <item x="37"/>
        <item x="16"/>
        <item x="26"/>
        <item x="41"/>
        <item x="4"/>
        <item x="39"/>
        <item x="8"/>
        <item x="11"/>
        <item x="34"/>
        <item x="15"/>
        <item x="40"/>
        <item x="28"/>
        <item x="20"/>
        <item x="27"/>
        <item x="0"/>
        <item x="2"/>
        <item x="5"/>
        <item x="17"/>
        <item x="7"/>
        <item x="12"/>
        <item x="13"/>
        <item x="14"/>
        <item x="1"/>
        <item x="42"/>
        <item x="18"/>
        <item x="10"/>
        <item x="38"/>
        <item x="33"/>
        <item x="29"/>
        <item x="9"/>
        <item t="default"/>
      </items>
    </pivotField>
    <pivotField showAll="0"/>
    <pivotField axis="axisRow" showAll="0">
      <items count="14">
        <item h="1" x="12"/>
        <item h="1" x="9"/>
        <item h="1" x="3"/>
        <item h="1" x="10"/>
        <item h="1" x="2"/>
        <item h="1" x="4"/>
        <item h="1" x="5"/>
        <item h="1" x="8"/>
        <item h="1" x="1"/>
        <item h="1" x="6"/>
        <item h="1" x="7"/>
        <item x="1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pivotField dataField="1" showAll="0"/>
    <pivotField dataField="1" showAll="0"/>
    <pivotField showAll="0"/>
  </pivotFields>
  <rowFields count="2">
    <field x="6"/>
    <field x="4"/>
  </rowFields>
  <rowItems count="7">
    <i>
      <x v="11"/>
    </i>
    <i r="1">
      <x v="4"/>
    </i>
    <i r="1">
      <x v="5"/>
    </i>
    <i r="1">
      <x v="6"/>
    </i>
    <i r="1">
      <x v="7"/>
    </i>
    <i r="1">
      <x v="36"/>
    </i>
    <i t="grand">
      <x/>
    </i>
  </rowItems>
  <colFields count="1">
    <field x="-2"/>
  </colFields>
  <colItems count="3">
    <i>
      <x/>
    </i>
    <i i="1">
      <x v="1"/>
    </i>
    <i i="2">
      <x v="2"/>
    </i>
  </colItems>
  <dataFields count="3">
    <dataField name="Sum of CF05 C-Hub PF" fld="19" baseField="0" baseItem="0"/>
    <dataField name="Prognosis (based on YTD actuals)" fld="36" baseField="0" baseItem="0"/>
    <dataField name="Gap (Porgnosis vs. Plan)" fld="37" baseField="0" baseItem="0" numFmtId="167"/>
  </dataFields>
  <formats count="1">
    <format dxfId="58">
      <pivotArea outline="0" collapsedLevelsAreSubtotals="1" fieldPosition="0"/>
    </format>
  </formats>
  <chartFormats count="9">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9">
      <pivotArea type="data" outline="0" fieldPosition="0">
        <references count="3">
          <reference field="4294967294" count="1" selected="0">
            <x v="1"/>
          </reference>
          <reference field="4" count="1" selected="0">
            <x v="4"/>
          </reference>
          <reference field="6" count="1" selected="0">
            <x v="11"/>
          </reference>
        </references>
      </pivotArea>
    </chartFormat>
    <chartFormat chart="0" format="10">
      <pivotArea type="data" outline="0" fieldPosition="0">
        <references count="3">
          <reference field="4294967294" count="1" selected="0">
            <x v="1"/>
          </reference>
          <reference field="4" count="1" selected="0">
            <x v="5"/>
          </reference>
          <reference field="6" count="1" selected="0">
            <x v="11"/>
          </reference>
        </references>
      </pivotArea>
    </chartFormat>
    <chartFormat chart="0" format="11">
      <pivotArea type="data" outline="0" fieldPosition="0">
        <references count="3">
          <reference field="4294967294" count="1" selected="0">
            <x v="1"/>
          </reference>
          <reference field="4" count="1" selected="0">
            <x v="6"/>
          </reference>
          <reference field="6" count="1" selected="0">
            <x v="11"/>
          </reference>
        </references>
      </pivotArea>
    </chartFormat>
    <chartFormat chart="0" format="12">
      <pivotArea type="data" outline="0" fieldPosition="0">
        <references count="3">
          <reference field="4294967294" count="1" selected="0">
            <x v="1"/>
          </reference>
          <reference field="4" count="1" selected="0">
            <x v="7"/>
          </reference>
          <reference field="6" count="1" selected="0">
            <x v="11"/>
          </reference>
        </references>
      </pivotArea>
    </chartFormat>
    <chartFormat chart="0" format="13">
      <pivotArea type="data" outline="0" fieldPosition="0">
        <references count="3">
          <reference field="4294967294" count="1" selected="0">
            <x v="1"/>
          </reference>
          <reference field="4" count="1" selected="0">
            <x v="36"/>
          </reference>
          <reference field="6" count="1" selected="0">
            <x v="11"/>
          </reference>
        </references>
      </pivotArea>
    </chartFormat>
    <chartFormat chart="0" format="14">
      <pivotArea type="data" outline="0" fieldPosition="0">
        <references count="2">
          <reference field="4294967294" count="1" selected="0">
            <x v="1"/>
          </reference>
          <reference field="6" count="1" selected="0">
            <x v="11"/>
          </reference>
        </references>
      </pivotArea>
    </chartFormat>
    <chartFormat chart="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MCR_ID" xr10:uid="{E58065DA-E372-4D69-82C7-F5A5A53BD336}" sourceName="New MCR ID">
  <pivotTables>
    <pivotTable tabId="21" name="PivotTable1"/>
  </pivotTables>
  <data>
    <tabular pivotCacheId="793430928">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w MCR ID" xr10:uid="{6CE39ACA-8505-4FE6-8435-92CE7FF46F89}" cache="Slicer_New_MCR_ID" caption="New MCR I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5C9DE9D-0902-4EE0-9922-A51B432F731A}" name="Table42610" displayName="Table42610" ref="A1:AM72" totalsRowCount="1">
  <autoFilter ref="A1:AM71" xr:uid="{C7DC3CAE-E970-43DC-9F2E-C1D0242F9691}"/>
  <tableColumns count="39">
    <tableColumn id="1" xr3:uid="{C886645E-628D-4524-8B1C-EA2DDDCCF58E}" name="Team bucket" totalsRowLabel="Total"/>
    <tableColumn id="28" xr3:uid="{4E5FCDEF-261C-4A99-BACC-AAA22E893C0B}" name="New Team bucket"/>
    <tableColumn id="43" xr3:uid="{E9EEFE44-891E-41C3-A5E0-6CB16D865A2B}" name="New MCR ID"/>
    <tableColumn id="30" xr3:uid="{61ED69CD-C905-4B1D-98CB-12BFF628874C}" name="WBS"/>
    <tableColumn id="2" xr3:uid="{6AF099CF-A8BD-4FF2-B4BC-B6160E253E71}" name="Task name"/>
    <tableColumn id="18" xr3:uid="{6904B29E-44B9-4A22-9C2E-AFB98837D1E5}" name="Resource group"/>
    <tableColumn id="29" xr3:uid="{D6B76EC0-C3C1-4D09-B93E-32EFA6544B6C}" name="Orga new"/>
    <tableColumn id="3" xr3:uid="{9A3064E7-B1D7-423C-A562-3541105B5D41}" name="Cost type" dataDxfId="131" totalsRowDxfId="130"/>
    <tableColumn id="4" xr3:uid="{DF00CD52-0D03-49BB-94F4-5F4F00C91D54}" name="Person booking"/>
    <tableColumn id="10" xr3:uid="{28E46060-146F-44EA-9A6A-EB9BBD5E1F7D}" name="BP26 FTE (%) - input" dataDxfId="129" totalsRowDxfId="128"/>
    <tableColumn id="5" xr3:uid="{079DC3AE-8E23-46B2-AA98-FCBECCE91C12}" name="Target Responsible" dataDxfId="127" totalsRowDxfId="126"/>
    <tableColumn id="48" xr3:uid="{3E01C9CD-5CFB-4B34-A350-842573ACEC32}" name="CF02 FTE(%) - input"/>
    <tableColumn id="16" xr3:uid="{CFF13DF4-AD2A-40D7-8820-A01ABA274117}" name="Total Hrs 2026"/>
    <tableColumn id="9" xr3:uid="{57EB9B42-9E4C-42F9-9303-57FEF0CFC4C4}" name="Rate 2026" dataDxfId="125"/>
    <tableColumn id="15" xr3:uid="{1BA85CD9-076C-4978-971E-E95288CFC3D8}" name="Personnel costs " dataDxfId="124" totalsRowDxfId="123"/>
    <tableColumn id="37" xr3:uid="{8DDAA707-E44F-419C-8F3E-C202FFF18395}" name="C-Hub PF" totalsRowFunction="custom" dataDxfId="122" totalsRowDxfId="121">
      <totalsRowFormula>SUBTOTAL(9,Table42610[C-Hub PF])</totalsRowFormula>
    </tableColumn>
    <tableColumn id="40" xr3:uid="{52BD7D64-4102-4038-BE47-B5E82F40A4D5}" name="C-Hub Cust Ext" totalsRowFunction="custom" dataDxfId="120" totalsRowDxfId="119">
      <totalsRowFormula>SUBTOTAL(9,Table42610[C-Hub Cust Ext])</totalsRowFormula>
    </tableColumn>
    <tableColumn id="46" xr3:uid="{B88268F1-B6FD-4009-98C6-170F3A940C22}" name="CF02 C-Hub PF" totalsRowFunction="custom" dataDxfId="118" totalsRowDxfId="117">
      <totalsRowFormula>SUBTOTAL(9,Table42610[CF02 C-Hub PF])</totalsRowFormula>
    </tableColumn>
    <tableColumn id="47" xr3:uid="{7BCE86F5-2AB0-4237-B7ED-FAF01121F5AF}" name="CF02 C-Hub Cust Ext" totalsRowFunction="custom" dataDxfId="116" totalsRowDxfId="115">
      <totalsRowFormula>SUBTOTAL(9,Table42610[CF02 C-Hub Cust Ext])</totalsRowFormula>
    </tableColumn>
    <tableColumn id="33" xr3:uid="{CE67A241-5949-48CC-A82D-30859207312A}" name="CF05 C-Hub PF" totalsRowFunction="sum" dataDxfId="114" totalsRowDxfId="113"/>
    <tableColumn id="32" xr3:uid="{8A017F7B-173B-4F17-8FA3-ADF10F7A1984}" name="CF05 C-Hub Cust Ext" totalsRowFunction="sum" dataDxfId="112" totalsRowDxfId="111"/>
    <tableColumn id="6" xr3:uid="{9CA1043D-BD7F-403E-9C0B-C48C3363C438}" name="Comments" dataDxfId="110"/>
    <tableColumn id="7" xr3:uid="{2BAD059C-ADD4-426F-923E-B0B38B4E7AF1}" name="Act Jan-25" totalsRowFunction="sum" dataDxfId="109" totalsRowDxfId="108"/>
    <tableColumn id="8" xr3:uid="{E77FF87A-C86F-4CE9-887B-6D95F312C230}" name="Act Feb-25" totalsRowFunction="sum" dataDxfId="107" totalsRowDxfId="106"/>
    <tableColumn id="11" xr3:uid="{1C083EA6-11BF-4914-B75F-C32F3533EAAC}" name="Act Mar-25" totalsRowFunction="sum" dataDxfId="105" totalsRowDxfId="104">
      <calculatedColumnFormula>$AJ2/12</calculatedColumnFormula>
    </tableColumn>
    <tableColumn id="12" xr3:uid="{FE7B3CDD-A91E-4048-BCA3-E0681FA019B2}" name="Act Apr-25" totalsRowFunction="sum" dataDxfId="103" totalsRowDxfId="102">
      <calculatedColumnFormula>$AJ2/12</calculatedColumnFormula>
    </tableColumn>
    <tableColumn id="13" xr3:uid="{62A7F718-393D-4971-B3A0-C827B768665C}" name="Act May-25" totalsRowFunction="sum" dataDxfId="101" totalsRowDxfId="100">
      <calculatedColumnFormula>$AJ2/12</calculatedColumnFormula>
    </tableColumn>
    <tableColumn id="14" xr3:uid="{032AE048-8093-43FC-9540-FE0C46BE0665}" name="Act Jun-25" totalsRowFunction="sum" dataDxfId="99" totalsRowDxfId="98">
      <calculatedColumnFormula>$AJ2/12</calculatedColumnFormula>
    </tableColumn>
    <tableColumn id="17" xr3:uid="{80ABB4D3-89ED-495A-840F-A3BBDB44C7D9}" name="Act Jul-25" totalsRowFunction="sum" dataDxfId="97" totalsRowDxfId="96">
      <calculatedColumnFormula>$AJ2/12</calculatedColumnFormula>
    </tableColumn>
    <tableColumn id="19" xr3:uid="{9263E0EA-BFC3-43FE-A3C9-8B8DEB46A48C}" name="Act Aug-25" totalsRowFunction="sum" dataDxfId="95" totalsRowDxfId="94">
      <calculatedColumnFormula>$AJ2/12</calculatedColumnFormula>
    </tableColumn>
    <tableColumn id="20" xr3:uid="{C5944C97-0A49-49E1-B123-A0A02932AF8B}" name="Act Sep-25" totalsRowFunction="sum" dataDxfId="93" totalsRowDxfId="92">
      <calculatedColumnFormula>$AJ2/12</calculatedColumnFormula>
    </tableColumn>
    <tableColumn id="21" xr3:uid="{FDE01B52-13B5-40ED-8180-186FA7FFFF9A}" name="Act Oct-25" totalsRowFunction="sum" dataDxfId="91" totalsRowDxfId="90">
      <calculatedColumnFormula>$AJ2/12</calculatedColumnFormula>
    </tableColumn>
    <tableColumn id="22" xr3:uid="{90035EC7-2328-4589-BB83-2AD32357169E}" name="Act Nov-25" totalsRowFunction="sum" dataDxfId="89" totalsRowDxfId="88">
      <calculatedColumnFormula>$AJ2/12</calculatedColumnFormula>
    </tableColumn>
    <tableColumn id="23" xr3:uid="{A67FD74F-A0E9-476F-B164-7A7F488F6E3C}" name="Act Dec-25" totalsRowFunction="sum" dataDxfId="87" totalsRowDxfId="86">
      <calculatedColumnFormula>$AJ2/12</calculatedColumnFormula>
    </tableColumn>
    <tableColumn id="24" xr3:uid="{A7D1EAAA-D4A8-4A1D-A88D-6DCB9F6EFAA8}" name="YTD Actuals 2025" totalsRowFunction="sum" dataDxfId="85" totalsRowDxfId="84">
      <calculatedColumnFormula>SUMIF(#REF!,"completed",Table42610[[#This Row],[Act Jan-25]:[Act Dec-25]])</calculatedColumnFormula>
    </tableColumn>
    <tableColumn id="25" xr3:uid="{9F8D1718-05A8-4E90-9463-D3B1837C2C66}" name="BAC (CF05 Plan)" totalsRowFunction="sum" dataDxfId="83" totalsRowDxfId="82">
      <calculatedColumnFormula>Table42610[[#This Row],[CF05 C-Hub PF]]</calculatedColumnFormula>
    </tableColumn>
    <tableColumn id="26" xr3:uid="{74329A7F-54E2-4A7C-A219-5DE36D274185}" name="EAC (based on YTD actuals)" totalsRowFunction="sum" dataDxfId="81" totalsRowDxfId="80">
      <calculatedColumnFormula>SUM(Table42610[[#This Row],[Act Jan-25]:[Act Dec-25]])/COUNTIF(#REF!,"completed")*12</calculatedColumnFormula>
    </tableColumn>
    <tableColumn id="27" xr3:uid="{D3DE77D4-9620-4127-8C62-9B1416370B48}" name="Gap" totalsRowFunction="sum" dataDxfId="79" totalsRowDxfId="78">
      <calculatedColumnFormula>Table42610[[#This Row],[EAC (based on YTD actuals)]]-Table42610[[#This Row],[BAC (CF05 Plan)]]</calculatedColumnFormula>
    </tableColumn>
    <tableColumn id="31" xr3:uid="{5D70E10B-04AC-4785-9DC8-334490504E7C}" name="Column1" dataDxfId="7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7FD6411-9E13-40FD-A7BD-1425AD187622}" name="Table10" displayName="Table10" ref="A1:M23" totalsRowCount="1">
  <autoFilter ref="A1:M22" xr:uid="{07FD6411-9E13-40FD-A7BD-1425AD187622}">
    <filterColumn colId="6">
      <filters>
        <filter val="C-Hub Customers"/>
        <filter val="C-Hub Product"/>
        <filter val="C-Hub Product / PS-SC/XPS"/>
      </filters>
    </filterColumn>
  </autoFilter>
  <tableColumns count="13">
    <tableColumn id="1" xr3:uid="{0611F3C7-0045-412A-BE98-006B9CBFE15B}" name="No" totalsRowLabel="Total"/>
    <tableColumn id="2" xr3:uid="{82C0205E-E4F5-44BD-BB3A-D9D4D37AD5AB}" name="Risks"/>
    <tableColumn id="3" xr3:uid="{A58493E5-A020-4314-8BE6-E12E66362C82}" name="Risk amount(k€)" totalsRowFunction="sum"/>
    <tableColumn id="4" xr3:uid="{8451838D-4243-4D6A-AA96-852E569A9213}" name="thereof included in Risk BP26 (BM-00107793_002)" totalsRowFunction="sum"/>
    <tableColumn id="5" xr3:uid="{EC37BF24-4BE8-469E-9CC2-F1A275BB571B}" name="Cost coverage ensured elsewhere" totalsRowFunction="sum" dataDxfId="74"/>
    <tableColumn id="6" xr3:uid="{AD370533-BE1B-4868-8808-8D3989254FEE}" name="Remaining risk amount" totalsRowFunction="sum" dataDxfId="73">
      <calculatedColumnFormula>C2-D2-E2</calculatedColumnFormula>
    </tableColumn>
    <tableColumn id="7" xr3:uid="{EB871276-E259-4F66-9A74-5A1AAFEA013A}" name="Responsible"/>
    <tableColumn id="8" xr3:uid="{98DAC144-6C89-4FBC-8B89-D96B7B49A250}" name="Customer"/>
    <tableColumn id="9" xr3:uid="{083E6264-B295-4B2D-B27F-F5BB6A472B6A}" name="Column1"/>
    <tableColumn id="10" xr3:uid="{30404AD2-9A24-4FBD-A59F-A682921DAEBF}" name="Comment Stan"/>
    <tableColumn id="11" xr3:uid="{ECAB2B79-F13B-4BD2-B47B-4A41C96EAC80}" name="Consider?"/>
    <tableColumn id="13" xr3:uid="{EC6C74CC-5D24-4AA0-A552-2AB819C4E184}" name="Column2" totalsRowFunction="sum"/>
    <tableColumn id="12" xr3:uid="{3A3D4EB9-CDBB-4230-B98B-2550CFA94ACD}" name="Hinweis 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F65DB5E-2922-42C9-8B1A-CBDE4DCBC840}" name="Table15" displayName="Table15" ref="B50:L103" totalsRowShown="0" headerRowDxfId="72">
  <autoFilter ref="B50:L103" xr:uid="{AF65DB5E-2922-42C9-8B1A-CBDE4DCBC840}"/>
  <tableColumns count="11">
    <tableColumn id="1" xr3:uid="{8E9BF476-BCCB-4532-BA25-A40DEC738111}" name="Task Name" dataDxfId="71"/>
    <tableColumn id="2" xr3:uid="{31B4E640-4609-43AE-9C0A-A0F1FEBB6A35}" name="CF05 C-Hub PF" dataDxfId="70"/>
    <tableColumn id="3" xr3:uid="{84304264-E688-40C5-B0E1-F58CB315A436}" name="Estimated at completion (based on YTD actuals, 4-Apr'26)" dataDxfId="69"/>
    <tableColumn id="4" xr3:uid="{6E994486-867C-4E2E-9F23-2FFD6C891CD5}" name="Gap (Prognosis vs. Plan)" dataDxfId="68"/>
    <tableColumn id="5" xr3:uid="{775F4649-FC20-4FB9-BC54-5FD0CCAA36CE}" name="Mapping to existing risk?"/>
    <tableColumn id="6" xr3:uid="{82426F90-4988-4A36-8B23-D64647CDE660}" name="Initial planned risk amount" dataDxfId="67"/>
    <tableColumn id="8" xr3:uid="{2115FBBD-DA39-4892-8A64-BF86A3CD5BAD}" name="Delta planned risk amount vs. YTD gap" dataDxfId="66"/>
    <tableColumn id="7" xr3:uid="{C44FB60E-A9E1-4D59-8A1F-CA9F6F881786}" name="Risk reasoning" dataDxfId="65"/>
    <tableColumn id="9" xr3:uid="{112BB41C-A00D-4D94-8B12-8CD353D0A30C}" name="Risk status" dataDxfId="64"/>
    <tableColumn id="10" xr3:uid="{DCEB4872-4438-4AA8-9A54-A6B71F5FCB38}" name="Realized risk amount" dataDxfId="63"/>
    <tableColumn id="11" xr3:uid="{3D5E67D7-0EEB-4932-AAB9-9A9500655150}" name="Actual needed risk amount" dataDxfId="6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0D1C924-0EEE-4F56-B430-F4C4F5E596E8}" name="Table11" displayName="Table11" ref="A2:M12" totalsRowCount="1">
  <autoFilter ref="A2:M11" xr:uid="{B0D1C924-0EEE-4F56-B430-F4C4F5E596E8}"/>
  <tableColumns count="13">
    <tableColumn id="1" xr3:uid="{3FAC0257-88BF-4FC9-88BB-64A1801D806B}" name="Cumulative actuals"/>
    <tableColumn id="2" xr3:uid="{EAA97423-A7F3-45F7-A563-ADDF935518F0}" name="Jan-26" dataDxfId="61" totalsRowDxfId="60">
      <calculatedColumnFormula>#REF!/12</calculatedColumnFormula>
    </tableColumn>
    <tableColumn id="3" xr3:uid="{CE3CFB3C-88A8-4322-B310-09031EB504DB}" name="Feb-26"/>
    <tableColumn id="4" xr3:uid="{55CCF732-F0D1-469A-B9D9-F9DEAA2E6C13}" name="Mar-26"/>
    <tableColumn id="5" xr3:uid="{22A07C59-C965-48B9-BC79-CE57EF3D9E44}" name="Apr-26"/>
    <tableColumn id="6" xr3:uid="{C7C0706F-05C4-412A-A948-1347004334C9}" name="May-26"/>
    <tableColumn id="7" xr3:uid="{88FD3F72-A7AC-47D1-A192-B1C776CABF29}" name="Jun-26"/>
    <tableColumn id="8" xr3:uid="{DC2553F2-C2D3-484E-BDDE-AF11961E3861}" name="Jul-26"/>
    <tableColumn id="9" xr3:uid="{6CE311FD-C2E7-445D-8733-14C88621EAE5}" name="Aug-26"/>
    <tableColumn id="10" xr3:uid="{B61B284C-4240-403E-A5B8-3F5E20740C37}" name="Sep-26"/>
    <tableColumn id="11" xr3:uid="{D6AFCB6A-8D16-4093-BD46-7FACED26E2A5}" name="Oct-26"/>
    <tableColumn id="12" xr3:uid="{ED7B749C-1ADF-41F4-9BCB-378A8ADC39A7}" name="Nov-26"/>
    <tableColumn id="13" xr3:uid="{7B1E4BD5-2DF6-4978-96BE-6F43E1D3501D}" name="Dec-26" totalsRowFunction="custom" totalsRowDxfId="59">
      <totalsRowFormula>M6+M10+M11</totalsRow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D784D4B-606D-4855-A6F4-032CAD773747}" name="Table4268" displayName="Table4268" ref="A1:I52" totalsRowCount="1" dataDxfId="54">
  <autoFilter ref="A1:I51" xr:uid="{C7DC3CAE-E970-43DC-9F2E-C1D0242F9691}">
    <filterColumn colId="0">
      <filters>
        <filter val="C-Hub Cust Ext - Rainer to define MCR"/>
      </filters>
    </filterColumn>
  </autoFilter>
  <tableColumns count="9">
    <tableColumn id="43" xr3:uid="{59DA71D7-55D3-4057-A12B-5E1F35301880}" name="New MCR ID" dataDxfId="53"/>
    <tableColumn id="2" xr3:uid="{6BFA9388-B2E9-4671-B6BC-5B5E5AECCF96}" name="Task name" dataDxfId="52"/>
    <tableColumn id="18" xr3:uid="{A8DB0ADD-4589-48D9-815E-0E073AB311C3}" name="Resource group" dataDxfId="51"/>
    <tableColumn id="27" xr3:uid="{2BACA2C2-068F-4496-A206-D6B704CE57B8}" name="Orga" dataDxfId="50"/>
    <tableColumn id="29" xr3:uid="{900A34A0-A089-4CBC-9042-EA49E8918878}" name="Orga new" dataDxfId="49"/>
    <tableColumn id="3" xr3:uid="{6DD2277C-6922-4ED8-A3D7-668D16BB1D7C}" name="Cost type" dataDxfId="48" totalsRowDxfId="47"/>
    <tableColumn id="4" xr3:uid="{F1A0E3CA-7B6D-4037-ADD6-E507E354B96D}" name="Person booking" dataDxfId="46"/>
    <tableColumn id="45" xr3:uid="{46664A36-5A49-4C8D-BA8E-65C60E77D0D6}" name="Hrs" dataDxfId="45" totalsRowDxfId="44">
      <calculatedColumnFormula>(Table4268[[#This Row],[Amount]]/#REF!)/#REF!</calculatedColumnFormula>
    </tableColumn>
    <tableColumn id="37" xr3:uid="{0E8B2C92-EEAE-4F8A-90F2-B467AD20E224}" name="Amount" totalsRowFunction="sum" dataDxfId="43" totalsRowDxfId="42"/>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FAD21EB-ED6D-4463-8085-BB1337A3D67B}" name="Table47" displayName="Table47" ref="A1:T46" totalsRowCount="1">
  <autoFilter ref="A1:T45" xr:uid="{C7DC3CAE-E970-43DC-9F2E-C1D0242F9691}"/>
  <tableColumns count="20">
    <tableColumn id="1" xr3:uid="{76415DC0-8884-4C46-B0ED-53B6D7C9E6E1}" name="Team bucket" totalsRowLabel="Total"/>
    <tableColumn id="5" xr3:uid="{7DB39A4D-034F-416C-9144-B6B2C76A154B}" name="New MCR logic"/>
    <tableColumn id="8" xr3:uid="{31B23444-8F51-4F14-8929-5E5DE3A784E4}" name="New MCR ID"/>
    <tableColumn id="2" xr3:uid="{D870637F-A4DA-477E-96A1-E393EEC4184F}" name="Task name"/>
    <tableColumn id="18" xr3:uid="{411A05B0-3285-4986-B505-2C47B5BEB604}" name="Resource group"/>
    <tableColumn id="3" xr3:uid="{0EDEE198-B326-4482-AA3B-0B65D8EE874E}" name="Cost type" dataDxfId="41" totalsRowDxfId="40"/>
    <tableColumn id="4" xr3:uid="{0677B696-0F27-4E93-B5A4-1821B3A07FAD}" name="Person booking"/>
    <tableColumn id="11" xr3:uid="{1F03ED5F-240D-474B-A4EC-A2F74BDD7E39}" name="new Team"/>
    <tableColumn id="12" xr3:uid="{87AF2CF0-623A-4F27-A977-50BAD38F7E87}" name="delta to 2025"/>
    <tableColumn id="13" xr3:uid="{6FF296DA-7491-4489-A59D-66DA9C9C350A}" name="consequence if canceled"/>
    <tableColumn id="10" xr3:uid="{3881640F-9FC0-4D42-96A9-66AC5871DA73}" name="FTE (%) 2026" dataDxfId="39" totalsRowDxfId="38"/>
    <tableColumn id="16" xr3:uid="{BE76C2CD-5D0A-4E13-A555-07FAF6381453}" name="Hrs 2026">
      <calculatedColumnFormula>_xlfn.IFNA(VLOOKUP(Table47[[#This Row],[Resource group]],#REF!,2,FALSE),"0")</calculatedColumnFormula>
    </tableColumn>
    <tableColumn id="9" xr3:uid="{1A4FD492-9089-4E99-9F0C-7A7220BD2337}" name="Rate 2026" dataDxfId="37">
      <calculatedColumnFormula>_xlfn.IFNA(VLOOKUP(Table47[[#This Row],[Resource group]],#REF!,4,FALSE),"0")</calculatedColumnFormula>
    </tableColumn>
    <tableColumn id="15" xr3:uid="{4706C3C6-D1A8-4508-A1AB-1E47CBCE98FA}" name="Personnel costs " totalsRowFunction="sum" dataDxfId="36" totalsRowDxfId="35">
      <calculatedColumnFormula>#REF!*Table47[[#This Row],[Hrs 2026]]*Table47[[#This Row],[Rate 2026]]</calculatedColumnFormula>
    </tableColumn>
    <tableColumn id="20" xr3:uid="{CCD170E0-9F29-4DFC-B065-BFEB1C1BC233}" name="Column1" dataDxfId="34" totalsRowDxfId="33">
      <calculatedColumnFormula>Table47[[#This Row],[FTE (%) 2026]]*Table47[[#This Row],[Hrs 2026]]</calculatedColumnFormula>
    </tableColumn>
    <tableColumn id="19" xr3:uid="{60A6F3E1-88A6-4E5B-85A4-F78CAF1D3DD2}" name="MCR (Plan input)" totalsRowFunction="sum" dataDxfId="32" totalsRowDxfId="31"/>
    <tableColumn id="7" xr3:uid="{5A937EB4-F87D-477C-BA12-57728215F417}" name="Prognosis BP26" totalsRowFunction="sum" dataDxfId="30" totalsRowDxfId="29"/>
    <tableColumn id="14" xr3:uid="{55CCAE71-B179-43F1-8057-2844BDA60AE8}" name="C-Hub CF09/2025  (before redistribution to Cust. Proj)" totalsRowFunction="sum" dataDxfId="28" totalsRowDxfId="27">
      <calculatedColumnFormula>VLOOKUP(Table47[[#This Row],[Task name]],#REF!,5,FALSE)</calculatedColumnFormula>
    </tableColumn>
    <tableColumn id="6" xr3:uid="{F6988450-26CD-4718-86B5-8859B57AF82B}" name="Comments to Prognosis BP26"/>
    <tableColumn id="17" xr3:uid="{B35A5A96-39AE-46E6-BD29-4D8BDEB5D74B}" name="Gap Pers. Vs. BP26" dataDxfId="26">
      <calculatedColumnFormula>Table47[[#This Row],[Prognosis BP26]]-Table47[[#This Row],[Personnel costs ]]</calculatedColumnFormula>
    </tableColumn>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0D0BE3A-9861-4CDB-8C80-9AADAEA9D860}" name="Table42689" displayName="Table42689" ref="A1:I53" totalsRowCount="1" dataDxfId="25">
  <autoFilter ref="A1:I52" xr:uid="{C7DC3CAE-E970-43DC-9F2E-C1D0242F9691}">
    <filterColumn colId="0">
      <filters>
        <filter val="BM-00110021_003"/>
      </filters>
    </filterColumn>
  </autoFilter>
  <tableColumns count="9">
    <tableColumn id="43" xr3:uid="{C468438C-BB1D-499B-9B4F-EF7D38CB93A7}" name="New MCR ID" dataDxfId="24"/>
    <tableColumn id="2" xr3:uid="{884802A6-69E1-4A9B-B4D5-87BEA88A75D3}" name="Task name" dataDxfId="23"/>
    <tableColumn id="18" xr3:uid="{298D2B4A-9A1B-4880-9826-0BB5726F7510}" name="Resource group" dataDxfId="22"/>
    <tableColumn id="27" xr3:uid="{19905992-6CB5-4919-9FBD-61BA0AF36EC6}" name="Orga" dataDxfId="21"/>
    <tableColumn id="29" xr3:uid="{7ED1C30B-60C6-4FFC-82D2-0D3CAC5C7D14}" name="Orga new" dataDxfId="20"/>
    <tableColumn id="3" xr3:uid="{59A0279A-D7A9-4D79-A219-8DF9A1B4A7B2}" name="Cost type" dataDxfId="19" totalsRowDxfId="18"/>
    <tableColumn id="4" xr3:uid="{43A1C2FF-01F7-4B9C-AC12-17096964B557}" name="Person booking" dataDxfId="17"/>
    <tableColumn id="45" xr3:uid="{6E9118AF-3BAE-4854-A2D5-6F3846FC6D94}" name="Hrs" dataDxfId="16" totalsRowDxfId="15">
      <calculatedColumnFormula>(Table42689[[#This Row],[Amount]]/#REF!)/#REF!</calculatedColumnFormula>
    </tableColumn>
    <tableColumn id="37" xr3:uid="{A3D2DC05-20CD-4E9B-BA2A-60CFCDC17F49}" name="Amount" totalsRowFunction="sum" dataDxfId="14" totalsRowDxfId="13"/>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98788B-7996-472D-989B-C4685A332568}" name="Table42" displayName="Table42" ref="A1:Q46" totalsRowCount="1">
  <autoFilter ref="A1:Q45" xr:uid="{C7DC3CAE-E970-43DC-9F2E-C1D0242F9691}">
    <filterColumn colId="1">
      <filters>
        <filter val="Rest ögP, equivalent to _007"/>
      </filters>
    </filterColumn>
    <filterColumn colId="13">
      <customFilters>
        <customFilter operator="notEqual" val=" "/>
      </customFilters>
    </filterColumn>
  </autoFilter>
  <tableColumns count="17">
    <tableColumn id="1" xr3:uid="{30CAA169-A7ED-49AE-A0F3-5DDB4E7C52DD}" name="Team bucket" totalsRowLabel="Total"/>
    <tableColumn id="5" xr3:uid="{AF00E942-8A49-4E54-89B9-77B9BB3E8F67}" name="New MCR logic"/>
    <tableColumn id="2" xr3:uid="{CA319782-C70E-4918-B693-82520971D6BA}" name="Task name"/>
    <tableColumn id="18" xr3:uid="{99F40958-B1A4-497C-B7C3-13AC65B42335}" name="Resource group"/>
    <tableColumn id="3" xr3:uid="{EB848041-3220-4E59-BEF7-E513FD7EF4AE}" name="Cost type" dataDxfId="12" totalsRowDxfId="11"/>
    <tableColumn id="4" xr3:uid="{8FDEBA55-40A6-4D28-8D00-77120372F803}" name="Person booking"/>
    <tableColumn id="11" xr3:uid="{58AAF701-6F73-46C9-B410-77AE3565A41F}" name="new Team"/>
    <tableColumn id="12" xr3:uid="{74843BFF-9E3A-4045-9D0B-816A92A337E1}" name="delta to 2025"/>
    <tableColumn id="13" xr3:uid="{77079C1B-4DD0-42C5-A9E8-D146A0D52AB2}" name="consequence if canceled"/>
    <tableColumn id="10" xr3:uid="{1C16EF61-301F-4E47-90EE-D952BE2FA80F}" name="FTE (%) 2026" dataDxfId="10" totalsRowDxfId="9"/>
    <tableColumn id="16" xr3:uid="{CA5DEABD-4A8F-4943-B1D6-C3CFAC98BA2A}" name="Hrs 2026">
      <calculatedColumnFormula>_xlfn.IFNA(VLOOKUP(Table42[[#This Row],[Resource group]],#REF!,2,FALSE),"0")</calculatedColumnFormula>
    </tableColumn>
    <tableColumn id="9" xr3:uid="{FA764D45-9F06-4EFE-B52C-DFC63652ABEC}" name="Rate 2026" dataDxfId="8">
      <calculatedColumnFormula>_xlfn.IFNA(VLOOKUP(Table42[[#This Row],[Resource group]],#REF!,4,FALSE),"0")</calculatedColumnFormula>
    </tableColumn>
    <tableColumn id="15" xr3:uid="{EF1DC7C4-1195-4A73-8229-BE11366F06EB}" name="Personnel costs " dataDxfId="7" totalsRowDxfId="6">
      <calculatedColumnFormula>#REF!*Table42[[#This Row],[Hrs 2026]]*Table42[[#This Row],[Rate 2026]]</calculatedColumnFormula>
    </tableColumn>
    <tableColumn id="7" xr3:uid="{905CE4CC-3D6F-412D-8F98-674A1264F398}" name="Prognosis BP26" totalsRowFunction="sum" dataDxfId="5" totalsRowDxfId="4"/>
    <tableColumn id="8" xr3:uid="{16E4214F-D491-4054-84BD-15A493A907AD}" name="Prognosis BP27" dataDxfId="3" totalsRowDxfId="2">
      <calculatedColumnFormula>Table42[[#This Row],[Prognosis BP26]]/1000</calculatedColumnFormula>
    </tableColumn>
    <tableColumn id="14" xr3:uid="{7FF6A975-8792-4719-9305-87A9515649DB}" name="C-Hub CF09/2025  (before redistribution to Cust. Proj)" totalsRowFunction="sum" dataDxfId="1" totalsRowDxfId="0">
      <calculatedColumnFormula>VLOOKUP(Table42[[#This Row],[Task name]],#REF!,5,FALSE)</calculatedColumnFormula>
    </tableColumn>
    <tableColumn id="6" xr3:uid="{EFBB7DDB-692A-464D-9E0F-B4D1607102BE}" name="Comments to Prognosis BP26"/>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8" dT="2025-11-12T22:18:43.08" personId="{5A49E68E-B2D4-46AC-929F-BB0E9350F0CE}" id="{E6EF8BFC-142D-4646-83F7-5779C7D2C13E}">
    <text>@Karaivanov Stanislav (BD/SPB-APA9) resource group changed --&gt; now Cluj</text>
    <mentions>
      <mention mentionpersonId="{E6D3D985-AF94-436C-978F-C46143C9C0AC}" mentionId="{D2B78A58-B11F-4E6E-BA1E-2FF9637D0291}" startIndex="0" length="35"/>
    </mentions>
  </threadedComment>
  <threadedComment ref="I9" dT="2025-11-12T22:20:27.56" personId="{5A49E68E-B2D4-46AC-929F-BB0E9350F0CE}" id="{5574D00B-A78E-4F54-8808-E420EFDABC83}">
    <text>@Hodzic Alkis (PS-CV/EES PS-SC/XPS) macht es Sinn die Aufgaben von Manish nach Cluj zu transferieren?</text>
    <mentions>
      <mention mentionpersonId="{6CE8762A-820B-4050-BB07-909FE806324E}" mentionId="{2DE5C97A-6879-4B4C-89C4-54F32ABDA36B}" startIndex="0" length="35"/>
    </mentions>
  </threadedComment>
  <threadedComment ref="I9" dT="2025-11-13T11:06:53.11" personId="{16999E8B-2DD6-4420-BB63-B3CC70C6B8FD}" id="{CCF6EF49-38DD-4F20-AF62-0A593B3509E1}" parentId="{5574D00B-A78E-4F54-8808-E420EFDABC83}">
    <text xml:space="preserve">JA wie besprochen. </text>
  </threadedComment>
  <threadedComment ref="P9" dT="2025-11-13T08:43:32.65" personId="{5A49E68E-B2D4-46AC-929F-BB0E9350F0CE}" id="{84187B6E-06FA-4C03-93FE-523A86A68C11}">
    <text>Should be transfered to Cluj M2026</text>
  </threadedComment>
  <threadedComment ref="C16" dT="2026-02-17T09:42:21.76" personId="{3CAB1F57-10AA-4D8E-A06E-6B6EFED0034D}" id="{A82E9DA7-3E0C-4F71-9361-55BD47FA2A13}">
    <text>Changed from 002 to 003: all resource groups in Germany should be at 003. Need to be changed in MCR also.</text>
  </threadedComment>
  <threadedComment ref="F17" dT="2025-11-12T22:18:43.08" personId="{5A49E68E-B2D4-46AC-929F-BB0E9350F0CE}" id="{638789F1-BA06-4C44-8BDA-C14C3CF428A1}">
    <text>@Karaivanov Stanislav (BD/SPB-APA9) resource group changed --&gt; now Cluj</text>
    <mentions>
      <mention mentionpersonId="{E6D3D985-AF94-436C-978F-C46143C9C0AC}" mentionId="{8A478E63-423B-4E56-B441-601532C8E40B}" startIndex="0" length="35"/>
    </mentions>
  </threadedComment>
  <threadedComment ref="F17" dT="2025-11-12T22:29:41.75" personId="{5A49E68E-B2D4-46AC-929F-BB0E9350F0CE}" id="{D4B9CA17-9288-46A0-96E2-BA95CB5B7D8C}" parentId="{638789F1-BA06-4C44-8BDA-C14C3CF428A1}">
    <text>@Karaivanov Stanislav (BD/SPB-APA9)  changed from Germany to Cluj and 007 to 006 (no ögP)</text>
    <mentions>
      <mention mentionpersonId="{E6D3D985-AF94-436C-978F-C46143C9C0AC}" mentionId="{7CDAAEA0-D673-4891-B52A-E5DB589F6C22}" startIndex="0" length="35"/>
    </mentions>
  </threadedComment>
  <threadedComment ref="C22" dT="2026-02-18T14:53:33.81" personId="{3CAB1F57-10AA-4D8E-A06E-6B6EFED0034D}" id="{CCB0C1B8-C186-4B96-939B-42C1B2143E80}">
    <text>Changed from 003 to 002: all resource groups in Germany should be at 003. Need to be changed in MCR also.</text>
  </threadedComment>
  <threadedComment ref="L23" dT="2025-11-20T11:00:59.43" personId="{3CAB1F57-10AA-4D8E-A06E-6B6EFED0034D}" id="{48FB2644-FBA8-42A6-A581-017BEB8BEF40}">
    <text xml:space="preserve">Input Rainer from 20-Nov-25: Move plan for "Lakshmi" from 35% to 50%
</text>
  </threadedComment>
  <threadedComment ref="F24" dT="2025-11-12T22:18:43.08" personId="{5A49E68E-B2D4-46AC-929F-BB0E9350F0CE}" id="{17975903-987B-4017-8A5D-FADD30F77E17}">
    <text>@Karaivanov Stanislav (BD/SPB-APA9) resource group changed --&gt; now Cluj</text>
    <mentions>
      <mention mentionpersonId="{E6D3D985-AF94-436C-978F-C46143C9C0AC}" mentionId="{AA674323-988F-496A-A47A-39C9EB7091F8}" startIndex="0" length="35"/>
    </mentions>
  </threadedComment>
  <threadedComment ref="F24" dT="2025-11-12T22:29:41.75" personId="{5A49E68E-B2D4-46AC-929F-BB0E9350F0CE}" id="{95E7A837-8197-4C7E-896D-7A20CEFF6C86}" parentId="{17975903-987B-4017-8A5D-FADD30F77E17}">
    <text>@Karaivanov Stanislav (BD/SPB-APA9)  changed from Germany to Cluj and 007 to 006 (no ögP)</text>
    <mentions>
      <mention mentionpersonId="{E6D3D985-AF94-436C-978F-C46143C9C0AC}" mentionId="{0DC64B06-C6DF-4C70-95FC-DD1B3A8CBD88}" startIndex="0" length="35"/>
    </mentions>
  </threadedComment>
  <threadedComment ref="F24" dT="2025-11-12T22:41:01.79" personId="{5A49E68E-B2D4-46AC-929F-BB0E9350F0CE}" id="{29566F3E-EDB7-4A8B-BB22-20A5647DD7DA}" parentId="{17975903-987B-4017-8A5D-FADD30F77E17}">
    <text>@Karaivanov Stanislav (BD/SPB-APA9)  changed from India to Cluj</text>
    <mentions>
      <mention mentionpersonId="{E6D3D985-AF94-436C-978F-C46143C9C0AC}" mentionId="{587AE615-964C-4C60-B9B2-3CAA6C3C822D}" startIndex="0" length="35"/>
    </mentions>
  </threadedComment>
  <threadedComment ref="C48" dT="2026-02-18T14:55:16.68" personId="{3CAB1F57-10AA-4D8E-A06E-6B6EFED0034D}" id="{9EF6D2F1-FE3C-46A2-83F3-5B0429E3FD25}">
    <text>Changed from 003 to 002: all resource groups in Germany should be at 003. Need to be changed in MCR also.</text>
  </threadedComment>
  <threadedComment ref="W51" dT="2026-04-03T08:51:14.28" personId="{3CAB1F57-10AA-4D8E-A06E-6B6EFED0034D}" id="{943C5BD5-E2A4-4ECE-B479-78E9E5E87C36}">
    <text>Includes booking of Frank David = 16632 EUR in Jan-26.</text>
  </threadedComment>
  <threadedComment ref="C54" dT="2026-02-17T09:42:28.25" personId="{3CAB1F57-10AA-4D8E-A06E-6B6EFED0034D}" id="{12BE871A-0EAF-4936-A2DD-C4101231A1F2}">
    <text>Changed from 002 to 003: all resource groups in Germany should be at 003. Need to be changed in MCR also.</text>
  </threadedComment>
</ThreadedComments>
</file>

<file path=xl/threadedComments/threadedComment2.xml><?xml version="1.0" encoding="utf-8"?>
<ThreadedComments xmlns="http://schemas.microsoft.com/office/spreadsheetml/2018/threadedcomments" xmlns:x="http://schemas.openxmlformats.org/spreadsheetml/2006/main">
  <threadedComment ref="C5" dT="2025-11-12T22:18:43.08" personId="{5A49E68E-B2D4-46AC-929F-BB0E9350F0CE}" id="{6F8E7A13-BAA1-477F-AD6E-700CC1B997C8}">
    <text>@Karaivanov Stanislav (BD/SPB-APA9) resource group changed --&gt; now Cluj</text>
    <mentions>
      <mention mentionpersonId="{E6D3D985-AF94-436C-978F-C46143C9C0AC}" mentionId="{4CA248FD-1D59-4E50-B1FB-4F4C31D9455E}" startIndex="0" length="35"/>
    </mentions>
  </threadedComment>
  <threadedComment ref="G6" dT="2025-11-12T22:20:27.56" personId="{5A49E68E-B2D4-46AC-929F-BB0E9350F0CE}" id="{D5B14BF9-A1CC-4C50-8E0D-0455A0136DE4}">
    <text>@Hodzic Alkis (PS-CV/EES PS-SC/XPS) macht es Sinn die Aufgaben von Manish nach Cluj zu transferieren?</text>
    <mentions>
      <mention mentionpersonId="{6CE8762A-820B-4050-BB07-909FE806324E}" mentionId="{6721A059-6A7B-4781-92C3-FCE863DA71C1}" startIndex="0" length="35"/>
    </mentions>
  </threadedComment>
  <threadedComment ref="G6" dT="2025-11-13T11:06:53.11" personId="{16999E8B-2DD6-4420-BB63-B3CC70C6B8FD}" id="{954274ED-FC5D-42A4-AD3A-7D750E6622ED}" parentId="{D5B14BF9-A1CC-4C50-8E0D-0455A0136DE4}">
    <text xml:space="preserve">JA wie besprochen. </text>
  </threadedComment>
  <threadedComment ref="I6" dT="2025-11-13T08:43:32.65" personId="{5A49E68E-B2D4-46AC-929F-BB0E9350F0CE}" id="{870603D2-7CA2-40D5-A6B9-1027875D4B04}">
    <text>Should be transfered to Cluj M2026</text>
  </threadedComment>
  <threadedComment ref="C12" dT="2025-11-12T22:18:43.08" personId="{5A49E68E-B2D4-46AC-929F-BB0E9350F0CE}" id="{DE81F7D5-6548-416F-AA58-79B006BBE878}">
    <text>@Karaivanov Stanislav (BD/SPB-APA9) resource group changed --&gt; now Cluj</text>
    <mentions>
      <mention mentionpersonId="{E6D3D985-AF94-436C-978F-C46143C9C0AC}" mentionId="{38123B4A-0E0D-4E97-88A3-C6E2C03B0C33}" startIndex="0" length="35"/>
    </mentions>
  </threadedComment>
  <threadedComment ref="C12" dT="2025-11-12T22:29:41.75" personId="{5A49E68E-B2D4-46AC-929F-BB0E9350F0CE}" id="{12434B04-720A-45F2-B711-0901601FB3FE}" parentId="{DE81F7D5-6548-416F-AA58-79B006BBE878}">
    <text>@Karaivanov Stanislav (BD/SPB-APA9)  changed from Germany to Cluj and 007 to 006 (no ögP)</text>
    <mentions>
      <mention mentionpersonId="{E6D3D985-AF94-436C-978F-C46143C9C0AC}" mentionId="{7C032C7C-039E-4467-A186-123CBBC23715}" startIndex="0" length="35"/>
    </mentions>
  </threadedComment>
  <threadedComment ref="C18" dT="2025-11-12T22:18:43.08" personId="{5A49E68E-B2D4-46AC-929F-BB0E9350F0CE}" id="{C761671F-C1DE-4996-AD04-ADDF43CBDB2E}">
    <text>@Karaivanov Stanislav (BD/SPB-APA9) resource group changed --&gt; now Cluj</text>
    <mentions>
      <mention mentionpersonId="{E6D3D985-AF94-436C-978F-C46143C9C0AC}" mentionId="{54F75777-B6FC-4C40-B4F6-03FD343F4107}" startIndex="0" length="35"/>
    </mentions>
  </threadedComment>
  <threadedComment ref="C18" dT="2025-11-12T22:29:41.75" personId="{5A49E68E-B2D4-46AC-929F-BB0E9350F0CE}" id="{1E1897BC-E3EC-419C-96CA-106145F35397}" parentId="{C761671F-C1DE-4996-AD04-ADDF43CBDB2E}">
    <text>@Karaivanov Stanislav (BD/SPB-APA9)  changed from Germany to Cluj and 007 to 006 (no ögP)</text>
    <mentions>
      <mention mentionpersonId="{E6D3D985-AF94-436C-978F-C46143C9C0AC}" mentionId="{2772E4DC-7EFD-4743-B6EA-A1BE4037DCD8}" startIndex="0" length="35"/>
    </mentions>
  </threadedComment>
  <threadedComment ref="C18" dT="2025-11-12T22:41:01.79" personId="{5A49E68E-B2D4-46AC-929F-BB0E9350F0CE}" id="{2A87CDF2-B991-4D2C-95DD-BE0415E81535}" parentId="{C761671F-C1DE-4996-AD04-ADDF43CBDB2E}">
    <text>@Karaivanov Stanislav (BD/SPB-APA9)  changed from India to Cluj</text>
    <mentions>
      <mention mentionpersonId="{E6D3D985-AF94-436C-978F-C46143C9C0AC}" mentionId="{15B37392-1850-4773-BC84-F5BCE4DDEA9B}" startIndex="0" length="35"/>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K18" dT="2025-09-18T07:21:05.38" personId="{3CAB1F57-10AA-4D8E-A06E-6B6EFED0034D}" id="{52F0649A-B23D-42F3-A950-590A671B5715}">
    <text>FTE to be confirmed</text>
  </threadedComment>
  <threadedComment ref="K20" dT="2025-09-18T07:23:07.26" personId="{3CAB1F57-10AA-4D8E-A06E-6B6EFED0034D}" id="{FEC18F7B-02C2-49EC-BFE4-C4CD082B2D1F}">
    <text>same as 2025</text>
  </threadedComment>
  <threadedComment ref="R22" dT="2025-09-16T12:32:41.92" personId="{16999E8B-2DD6-4420-BB63-B3CC70C6B8FD}" id="{26C1A80C-445D-4ECF-A309-7790E3956DDC}">
    <text>For 2026 it would be ~200.600 €</text>
  </threadedComment>
  <threadedComment ref="Q35" dT="2025-09-16T15:04:08.90" personId="{5A49E68E-B2D4-46AC-929F-BB0E9350F0CE}" id="{84A7DD3A-A64E-441A-A290-89A68A249466}">
    <text>@Karaivanov Stanislav (BD/SPB-APA9)  is that really the cost for Oleg?</text>
    <mentions>
      <mention mentionpersonId="{E6D3D985-AF94-436C-978F-C46143C9C0AC}" mentionId="{DE6898A3-457E-4A8E-B344-5A92061776E2}" startIndex="0" length="35"/>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C5" dT="2025-11-12T22:18:43.08" personId="{5A49E68E-B2D4-46AC-929F-BB0E9350F0CE}" id="{8E6AF58A-4163-4505-BB69-1731F5F11162}">
    <text>@Karaivanov Stanislav (BD/SPB-APA9) resource group changed --&gt; now Cluj</text>
    <mentions>
      <mention mentionpersonId="{E6D3D985-AF94-436C-978F-C46143C9C0AC}" mentionId="{2D3C1236-D238-4834-B7F3-534F629FC40A}" startIndex="0" length="35"/>
    </mentions>
  </threadedComment>
  <threadedComment ref="G6" dT="2025-11-12T22:20:27.56" personId="{5A49E68E-B2D4-46AC-929F-BB0E9350F0CE}" id="{50C8A6FA-5943-484D-A5F0-5981EF4DD9E8}">
    <text>@Hodzic Alkis (PS-CV/EES PS-SC/XPS) macht es Sinn die Aufgaben von Manish nach Cluj zu transferieren?</text>
    <mentions>
      <mention mentionpersonId="{6CE8762A-820B-4050-BB07-909FE806324E}" mentionId="{15F65C9D-3470-4EF9-B739-0975E3A5AE2D}" startIndex="0" length="35"/>
    </mentions>
  </threadedComment>
  <threadedComment ref="G6" dT="2025-11-13T11:06:53.11" personId="{16999E8B-2DD6-4420-BB63-B3CC70C6B8FD}" id="{D83D9552-5CAF-4199-B34E-4639EB3B6FB1}" parentId="{50C8A6FA-5943-484D-A5F0-5981EF4DD9E8}">
    <text xml:space="preserve">JA wie besprochen. </text>
  </threadedComment>
  <threadedComment ref="I6" dT="2025-11-13T08:43:32.65" personId="{5A49E68E-B2D4-46AC-929F-BB0E9350F0CE}" id="{72C18A7C-75E3-4303-A342-BACF83469022}">
    <text>Should be transfered to Cluj M2026</text>
  </threadedComment>
  <threadedComment ref="C12" dT="2025-11-12T22:18:43.08" personId="{5A49E68E-B2D4-46AC-929F-BB0E9350F0CE}" id="{0825A95E-DE34-45D2-B59B-71800C610FE0}">
    <text>@Karaivanov Stanislav (BD/SPB-APA9) resource group changed --&gt; now Cluj</text>
    <mentions>
      <mention mentionpersonId="{E6D3D985-AF94-436C-978F-C46143C9C0AC}" mentionId="{AD2ABD24-7101-4496-A24A-CE8C6EAD789F}" startIndex="0" length="35"/>
    </mentions>
  </threadedComment>
  <threadedComment ref="C12" dT="2025-11-12T22:29:41.75" personId="{5A49E68E-B2D4-46AC-929F-BB0E9350F0CE}" id="{7601F693-499F-45E1-8B80-81A543A818BE}" parentId="{0825A95E-DE34-45D2-B59B-71800C610FE0}">
    <text>@Karaivanov Stanislav (BD/SPB-APA9)  changed from Germany to Cluj and 007 to 006 (no ögP)</text>
    <mentions>
      <mention mentionpersonId="{E6D3D985-AF94-436C-978F-C46143C9C0AC}" mentionId="{4A4D885E-59E2-4E96-8921-0D5B6B21D624}" startIndex="0" length="35"/>
    </mentions>
  </threadedComment>
  <threadedComment ref="C18" dT="2025-11-12T22:18:43.08" personId="{5A49E68E-B2D4-46AC-929F-BB0E9350F0CE}" id="{60583E49-43C6-40C7-AD6E-7E8339A58C3F}">
    <text>@Karaivanov Stanislav (BD/SPB-APA9) resource group changed --&gt; now Cluj</text>
    <mentions>
      <mention mentionpersonId="{E6D3D985-AF94-436C-978F-C46143C9C0AC}" mentionId="{C2A19074-6468-46F6-B90A-62CB484B9AC6}" startIndex="0" length="35"/>
    </mentions>
  </threadedComment>
  <threadedComment ref="C18" dT="2025-11-12T22:29:41.75" personId="{5A49E68E-B2D4-46AC-929F-BB0E9350F0CE}" id="{0B676D6F-7145-48C3-A771-AF0237721881}" parentId="{60583E49-43C6-40C7-AD6E-7E8339A58C3F}">
    <text>@Karaivanov Stanislav (BD/SPB-APA9)  changed from Germany to Cluj and 007 to 006 (no ögP)</text>
    <mentions>
      <mention mentionpersonId="{E6D3D985-AF94-436C-978F-C46143C9C0AC}" mentionId="{9E3EA52F-7597-4046-9493-364F70AD19C8}" startIndex="0" length="35"/>
    </mentions>
  </threadedComment>
  <threadedComment ref="C18" dT="2025-11-12T22:41:01.79" personId="{5A49E68E-B2D4-46AC-929F-BB0E9350F0CE}" id="{46F016C4-2FBA-48FA-9F5B-0C8FCFF25CC1}" parentId="{60583E49-43C6-40C7-AD6E-7E8339A58C3F}">
    <text>@Karaivanov Stanislav (BD/SPB-APA9)  changed from India to Cluj</text>
    <mentions>
      <mention mentionpersonId="{E6D3D985-AF94-436C-978F-C46143C9C0AC}" mentionId="{D5A2D9C9-7206-43E6-A5F7-12D4ACD1F122}" startIndex="0" length="35"/>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J18" dT="2025-09-18T07:21:05.38" personId="{3CAB1F57-10AA-4D8E-A06E-6B6EFED0034D}" id="{AA803A88-EE5E-4307-B0E9-32130E5BEFA3}">
    <text>FTE to be confirmed</text>
  </threadedComment>
  <threadedComment ref="J20" dT="2025-09-18T07:23:07.26" personId="{3CAB1F57-10AA-4D8E-A06E-6B6EFED0034D}" id="{8527129E-D81F-4807-8DA0-2931F88740E9}">
    <text>same as 2025</text>
  </threadedComment>
  <threadedComment ref="P22" dT="2025-09-16T12:32:41.92" personId="{16999E8B-2DD6-4420-BB63-B3CC70C6B8FD}" id="{4353D83A-AA57-4EF6-BAEE-D39E2AA6CA7D}">
    <text>For 2026 it would be ~200.600 €</text>
  </threadedComment>
  <threadedComment ref="N35" dT="2025-09-16T15:04:08.90" personId="{5A49E68E-B2D4-46AC-929F-BB0E9350F0CE}" id="{E905B159-7579-4CFA-A5AC-321D3CC75106}">
    <text>@Karaivanov Stanislav (BD/SPB-APA9)  is that really the cost for Oleg?</text>
    <mentions>
      <mention mentionpersonId="{E6D3D985-AF94-436C-978F-C46143C9C0AC}" mentionId="{14063124-B974-4FFD-9043-AE6148DF0BFC}" startIndex="0" length="35"/>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2.vml"/><Relationship Id="rId1" Type="http://schemas.openxmlformats.org/officeDocument/2006/relationships/drawing" Target="../drawings/drawing4.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2.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drawing" Target="../drawings/drawing6.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5.vml"/><Relationship Id="rId1" Type="http://schemas.openxmlformats.org/officeDocument/2006/relationships/drawing" Target="../drawings/drawing7.xml"/><Relationship Id="rId5" Type="http://schemas.microsoft.com/office/2017/10/relationships/threadedComment" Target="../threadedComments/threadedComment5.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19C43-B2B6-4012-8D09-F2669834CF78}">
  <sheetPr codeName="Sheet1"/>
  <dimension ref="A1:AM91"/>
  <sheetViews>
    <sheetView tabSelected="1" topLeftCell="A67" zoomScale="80" zoomScaleNormal="80" workbookViewId="0">
      <pane xSplit="6" topLeftCell="G1" activePane="topRight" state="frozen"/>
      <selection pane="topRight" sqref="A1:XFD1"/>
    </sheetView>
  </sheetViews>
  <sheetFormatPr defaultColWidth="9.109375" defaultRowHeight="14.4" outlineLevelRow="1" outlineLevelCol="1"/>
  <cols>
    <col min="1" max="1" width="23.33203125" bestFit="1" customWidth="1"/>
    <col min="2" max="2" width="28.109375" bestFit="1" customWidth="1"/>
    <col min="3" max="3" width="17.44140625" bestFit="1" customWidth="1"/>
    <col min="4" max="4" width="27.109375" customWidth="1" outlineLevel="1"/>
    <col min="5" max="5" width="52.109375" customWidth="1"/>
    <col min="6" max="6" width="40" customWidth="1"/>
    <col min="7" max="7" width="17.5546875" customWidth="1"/>
    <col min="8" max="8" width="14.88671875" style="10" customWidth="1"/>
    <col min="9" max="9" width="38.88671875" customWidth="1"/>
    <col min="10" max="10" width="27.5546875" customWidth="1"/>
    <col min="11" max="11" width="15.88671875" customWidth="1"/>
    <col min="12" max="12" width="20.88671875" customWidth="1"/>
    <col min="13" max="14" width="11.88671875" customWidth="1"/>
    <col min="15" max="15" width="17" customWidth="1"/>
    <col min="16" max="16" width="19.109375" customWidth="1"/>
    <col min="17" max="17" width="16.33203125" customWidth="1"/>
    <col min="18" max="18" width="15.88671875" customWidth="1"/>
    <col min="19" max="19" width="20.6640625" customWidth="1"/>
    <col min="20" max="20" width="19.33203125" customWidth="1"/>
    <col min="21" max="21" width="20.6640625" customWidth="1"/>
    <col min="22" max="22" width="57" bestFit="1" customWidth="1"/>
    <col min="23" max="23" width="12.109375" bestFit="1" customWidth="1"/>
    <col min="24" max="25" width="12.5546875" bestFit="1" customWidth="1"/>
    <col min="26" max="26" width="12.33203125" bestFit="1" customWidth="1"/>
    <col min="27" max="27" width="12.88671875" bestFit="1" customWidth="1"/>
    <col min="28" max="28" width="12.33203125" bestFit="1" customWidth="1"/>
    <col min="29" max="29" width="11.6640625" bestFit="1" customWidth="1"/>
    <col min="30" max="30" width="12.5546875" bestFit="1" customWidth="1"/>
    <col min="31" max="31" width="12.6640625" bestFit="1" customWidth="1"/>
    <col min="32" max="32" width="12.44140625" bestFit="1" customWidth="1"/>
    <col min="33" max="34" width="12.88671875" bestFit="1" customWidth="1"/>
    <col min="35" max="35" width="18.44140625" bestFit="1" customWidth="1"/>
    <col min="36" max="36" width="17.6640625" bestFit="1" customWidth="1"/>
    <col min="37" max="37" width="28.44140625" bestFit="1" customWidth="1"/>
    <col min="38" max="38" width="12.88671875" customWidth="1"/>
  </cols>
  <sheetData>
    <row r="1" spans="1:39">
      <c r="A1" t="s">
        <v>1</v>
      </c>
      <c r="B1" t="s">
        <v>2</v>
      </c>
      <c r="C1" t="s">
        <v>3</v>
      </c>
      <c r="D1" t="s">
        <v>4</v>
      </c>
      <c r="E1" t="s">
        <v>5</v>
      </c>
      <c r="F1" t="s">
        <v>6</v>
      </c>
      <c r="G1" t="s">
        <v>7</v>
      </c>
      <c r="H1" s="10" t="s">
        <v>8</v>
      </c>
      <c r="I1" t="s">
        <v>9</v>
      </c>
      <c r="J1" s="3" t="s">
        <v>10</v>
      </c>
      <c r="K1" s="3" t="s">
        <v>11</v>
      </c>
      <c r="L1" s="57" t="s">
        <v>12</v>
      </c>
      <c r="M1" t="s">
        <v>13</v>
      </c>
      <c r="N1" t="s">
        <v>14</v>
      </c>
      <c r="O1" t="s">
        <v>15</v>
      </c>
      <c r="P1" s="74" t="s">
        <v>343</v>
      </c>
      <c r="Q1" s="83" t="s">
        <v>16</v>
      </c>
      <c r="R1" s="85" t="s">
        <v>344</v>
      </c>
      <c r="S1" s="88" t="s">
        <v>18</v>
      </c>
      <c r="T1" s="89" t="s">
        <v>273</v>
      </c>
      <c r="U1" s="90" t="s">
        <v>19</v>
      </c>
      <c r="V1" t="s">
        <v>20</v>
      </c>
      <c r="W1" s="59" t="s">
        <v>21</v>
      </c>
      <c r="X1" s="59" t="s">
        <v>22</v>
      </c>
      <c r="Y1" s="59" t="s">
        <v>23</v>
      </c>
      <c r="Z1" s="59" t="s">
        <v>24</v>
      </c>
      <c r="AA1" s="59" t="s">
        <v>25</v>
      </c>
      <c r="AB1" s="59" t="s">
        <v>26</v>
      </c>
      <c r="AC1" s="59" t="s">
        <v>27</v>
      </c>
      <c r="AD1" s="59" t="s">
        <v>28</v>
      </c>
      <c r="AE1" s="59" t="s">
        <v>29</v>
      </c>
      <c r="AF1" s="59" t="s">
        <v>30</v>
      </c>
      <c r="AG1" s="59" t="s">
        <v>31</v>
      </c>
      <c r="AH1" s="59" t="s">
        <v>32</v>
      </c>
      <c r="AI1" s="60" t="s">
        <v>33</v>
      </c>
      <c r="AJ1" s="4" t="s">
        <v>34</v>
      </c>
      <c r="AK1" t="s">
        <v>35</v>
      </c>
      <c r="AL1" s="24" t="s">
        <v>36</v>
      </c>
      <c r="AM1" t="s">
        <v>37</v>
      </c>
    </row>
    <row r="2" spans="1:39" ht="15" customHeight="1">
      <c r="A2" t="s">
        <v>38</v>
      </c>
      <c r="B2" t="s">
        <v>38</v>
      </c>
      <c r="C2" t="s">
        <v>39</v>
      </c>
      <c r="D2" t="s">
        <v>40</v>
      </c>
      <c r="E2" t="s">
        <v>41</v>
      </c>
      <c r="F2" t="s">
        <v>42</v>
      </c>
      <c r="H2" s="10" t="s">
        <v>38</v>
      </c>
      <c r="I2" t="s">
        <v>43</v>
      </c>
      <c r="J2" s="12"/>
      <c r="K2" s="12"/>
      <c r="N2" s="1"/>
      <c r="O2" s="1"/>
      <c r="P2" s="75">
        <v>-330000</v>
      </c>
      <c r="Q2" s="1">
        <v>0</v>
      </c>
      <c r="R2" s="75">
        <f>Table42610[[#This Row],[C-Hub PF]]</f>
        <v>-330000</v>
      </c>
      <c r="T2" s="75">
        <v>-330000</v>
      </c>
      <c r="U2" s="76"/>
      <c r="V2" s="1"/>
      <c r="W2" s="1"/>
      <c r="X2" s="1"/>
      <c r="Y2" s="1"/>
      <c r="Z2" s="1"/>
      <c r="AA2" s="1"/>
      <c r="AB2" s="1"/>
      <c r="AC2" s="1"/>
      <c r="AD2" s="1"/>
      <c r="AE2" s="1"/>
      <c r="AF2" s="1"/>
      <c r="AG2" s="1"/>
      <c r="AH2" s="1"/>
      <c r="AI2" s="70" t="e">
        <f>SUMIF(#REF!,"completed",Table42610[[#This Row],[Act Jan-25]:[Act Dec-25]])</f>
        <v>#REF!</v>
      </c>
      <c r="AJ2" s="1">
        <f>Table42610[[#This Row],[CF05 C-Hub PF]]</f>
        <v>-330000</v>
      </c>
      <c r="AK2" s="1">
        <v>-330000</v>
      </c>
      <c r="AL2" s="1">
        <f>Table42610[[#This Row],[EAC (based on YTD actuals)]]-Table42610[[#This Row],[BAC (CF05 Plan)]]</f>
        <v>0</v>
      </c>
      <c r="AM2" s="1"/>
    </row>
    <row r="3" spans="1:39" ht="15" customHeight="1">
      <c r="A3" t="s">
        <v>44</v>
      </c>
      <c r="B3" t="s">
        <v>44</v>
      </c>
      <c r="C3" t="s">
        <v>45</v>
      </c>
      <c r="E3" t="s">
        <v>46</v>
      </c>
      <c r="F3" t="s">
        <v>47</v>
      </c>
      <c r="H3" s="10" t="s">
        <v>44</v>
      </c>
      <c r="J3" s="15"/>
      <c r="K3" s="12"/>
      <c r="N3" s="1"/>
      <c r="O3" s="1"/>
      <c r="P3" s="75"/>
      <c r="Q3" s="1"/>
      <c r="R3" s="86">
        <v>-400000</v>
      </c>
      <c r="T3" s="75">
        <v>-400000</v>
      </c>
      <c r="U3" s="76"/>
      <c r="V3" s="1" t="s">
        <v>48</v>
      </c>
      <c r="W3" s="1"/>
      <c r="X3" s="1"/>
      <c r="Y3" s="1"/>
      <c r="Z3" s="1"/>
      <c r="AA3" s="1"/>
      <c r="AB3" s="1"/>
      <c r="AC3" s="1"/>
      <c r="AD3" s="1"/>
      <c r="AE3" s="1"/>
      <c r="AF3" s="1"/>
      <c r="AG3" s="1"/>
      <c r="AH3" s="1"/>
      <c r="AI3" s="1" t="e">
        <f>SUMIF(#REF!,"completed",Table42610[[#This Row],[Act Jan-25]:[Act Dec-25]])</f>
        <v>#REF!</v>
      </c>
      <c r="AJ3" s="1">
        <f>Table42610[[#This Row],[CF05 C-Hub PF]]</f>
        <v>-400000</v>
      </c>
      <c r="AK3" s="1">
        <f>SUM(Table42610[[#This Row],[Act Jan-25]:[Act Dec-25]])</f>
        <v>0</v>
      </c>
      <c r="AL3" s="1">
        <f>Table42610[[#This Row],[EAC (based on YTD actuals)]]-Table42610[[#This Row],[BAC (CF05 Plan)]]</f>
        <v>400000</v>
      </c>
      <c r="AM3" s="1"/>
    </row>
    <row r="4" spans="1:39" ht="15" customHeight="1">
      <c r="A4" t="s">
        <v>38</v>
      </c>
      <c r="B4" t="s">
        <v>38</v>
      </c>
      <c r="C4" t="s">
        <v>49</v>
      </c>
      <c r="E4" t="s">
        <v>50</v>
      </c>
      <c r="F4" t="s">
        <v>42</v>
      </c>
      <c r="H4" s="10" t="s">
        <v>38</v>
      </c>
      <c r="I4" t="s">
        <v>43</v>
      </c>
      <c r="J4" s="12"/>
      <c r="K4" s="12"/>
      <c r="N4" s="1"/>
      <c r="O4" s="1"/>
      <c r="P4" s="75">
        <v>0</v>
      </c>
      <c r="Q4" s="1">
        <v>0</v>
      </c>
      <c r="R4" s="75">
        <f>Table42610[[#This Row],[C-Hub PF]]</f>
        <v>0</v>
      </c>
      <c r="T4" s="75">
        <v>0</v>
      </c>
      <c r="U4" s="76"/>
      <c r="V4" s="1"/>
      <c r="W4" s="1"/>
      <c r="X4" s="1"/>
      <c r="Y4" s="1">
        <f t="shared" ref="Y4:AH5" si="0">$AJ4/12</f>
        <v>0</v>
      </c>
      <c r="Z4" s="1">
        <f t="shared" si="0"/>
        <v>0</v>
      </c>
      <c r="AA4" s="1">
        <f t="shared" si="0"/>
        <v>0</v>
      </c>
      <c r="AB4" s="1">
        <f t="shared" si="0"/>
        <v>0</v>
      </c>
      <c r="AC4" s="1">
        <f t="shared" si="0"/>
        <v>0</v>
      </c>
      <c r="AD4" s="1">
        <f t="shared" si="0"/>
        <v>0</v>
      </c>
      <c r="AE4" s="1">
        <f t="shared" si="0"/>
        <v>0</v>
      </c>
      <c r="AF4" s="1">
        <f t="shared" si="0"/>
        <v>0</v>
      </c>
      <c r="AG4" s="1">
        <f t="shared" si="0"/>
        <v>0</v>
      </c>
      <c r="AH4" s="1">
        <f t="shared" si="0"/>
        <v>0</v>
      </c>
      <c r="AI4" s="1" t="e">
        <f>SUMIF(#REF!,"completed",Table42610[[#This Row],[Act Jan-25]:[Act Dec-25]])</f>
        <v>#REF!</v>
      </c>
      <c r="AJ4" s="1">
        <f>Table42610[[#This Row],[CF05 C-Hub PF]]</f>
        <v>0</v>
      </c>
      <c r="AK4" s="1">
        <f>SUM(Table42610[[#This Row],[Act Jan-25]:[Act Dec-25]])</f>
        <v>0</v>
      </c>
      <c r="AL4" s="1">
        <f>Table42610[[#This Row],[EAC (based on YTD actuals)]]-Table42610[[#This Row],[BAC (CF05 Plan)]]</f>
        <v>0</v>
      </c>
      <c r="AM4" s="1"/>
    </row>
    <row r="5" spans="1:39" ht="15" customHeight="1">
      <c r="A5" t="s">
        <v>51</v>
      </c>
      <c r="C5" t="s">
        <v>45</v>
      </c>
      <c r="E5" t="s">
        <v>52</v>
      </c>
      <c r="F5" t="s">
        <v>47</v>
      </c>
      <c r="G5" t="s">
        <v>53</v>
      </c>
      <c r="H5" s="10" t="s">
        <v>54</v>
      </c>
      <c r="I5" t="s">
        <v>55</v>
      </c>
      <c r="J5" s="15"/>
      <c r="K5" s="15"/>
      <c r="N5" s="1"/>
      <c r="O5" s="1"/>
      <c r="P5" s="75">
        <v>0</v>
      </c>
      <c r="Q5" s="1">
        <v>250000</v>
      </c>
      <c r="R5" s="75">
        <f>Table42610[[#This Row],[C-Hub PF]]</f>
        <v>0</v>
      </c>
      <c r="S5" s="1">
        <v>250000</v>
      </c>
      <c r="T5" s="75">
        <v>0</v>
      </c>
      <c r="U5" s="76">
        <v>250000</v>
      </c>
      <c r="V5" s="1"/>
      <c r="W5" s="1"/>
      <c r="X5" s="1"/>
      <c r="Y5" s="1">
        <f t="shared" si="0"/>
        <v>0</v>
      </c>
      <c r="Z5" s="1">
        <f t="shared" si="0"/>
        <v>0</v>
      </c>
      <c r="AA5" s="1">
        <f t="shared" si="0"/>
        <v>0</v>
      </c>
      <c r="AB5" s="1">
        <f t="shared" si="0"/>
        <v>0</v>
      </c>
      <c r="AC5" s="1">
        <f t="shared" si="0"/>
        <v>0</v>
      </c>
      <c r="AD5" s="1">
        <f t="shared" si="0"/>
        <v>0</v>
      </c>
      <c r="AE5" s="1">
        <f t="shared" si="0"/>
        <v>0</v>
      </c>
      <c r="AF5" s="1">
        <f t="shared" si="0"/>
        <v>0</v>
      </c>
      <c r="AG5" s="1">
        <f t="shared" si="0"/>
        <v>0</v>
      </c>
      <c r="AH5" s="1">
        <f t="shared" si="0"/>
        <v>0</v>
      </c>
      <c r="AI5" s="1" t="e">
        <f>SUMIF(#REF!,"completed",Table42610[[#This Row],[Act Jan-25]:[Act Dec-25]])</f>
        <v>#REF!</v>
      </c>
      <c r="AJ5" s="1">
        <f>Table42610[[#This Row],[CF05 C-Hub PF]]</f>
        <v>0</v>
      </c>
      <c r="AK5" s="1">
        <f>SUM(Table42610[[#This Row],[Act Jan-25]:[Act Dec-25]])</f>
        <v>0</v>
      </c>
      <c r="AL5" s="1">
        <f>Table42610[[#This Row],[EAC (based on YTD actuals)]]-Table42610[[#This Row],[BAC (CF05 Plan)]]</f>
        <v>0</v>
      </c>
      <c r="AM5" s="1"/>
    </row>
    <row r="6" spans="1:39" ht="15" hidden="1" customHeight="1" outlineLevel="1">
      <c r="A6" t="s">
        <v>56</v>
      </c>
      <c r="C6" t="s">
        <v>45</v>
      </c>
      <c r="D6" t="s">
        <v>57</v>
      </c>
      <c r="E6" t="s">
        <v>58</v>
      </c>
      <c r="F6" t="s">
        <v>47</v>
      </c>
      <c r="G6" t="s">
        <v>59</v>
      </c>
      <c r="H6" s="10" t="s">
        <v>54</v>
      </c>
      <c r="I6" t="s">
        <v>60</v>
      </c>
      <c r="J6" s="12">
        <v>1</v>
      </c>
      <c r="K6" s="12"/>
      <c r="N6" s="1"/>
      <c r="O6" s="1"/>
      <c r="P6" s="75">
        <v>202500</v>
      </c>
      <c r="Q6" s="1">
        <v>67500</v>
      </c>
      <c r="R6" s="86">
        <v>210000</v>
      </c>
      <c r="S6" s="1">
        <v>67500</v>
      </c>
      <c r="T6" s="75">
        <v>210000</v>
      </c>
      <c r="U6" s="76">
        <v>67500</v>
      </c>
      <c r="V6" s="62" t="s">
        <v>61</v>
      </c>
      <c r="W6" s="1"/>
      <c r="X6" s="1">
        <v>21953.85</v>
      </c>
      <c r="Y6" s="1">
        <v>22181.16</v>
      </c>
      <c r="Z6" s="1">
        <f t="shared" ref="Z6:AE6" si="1">$AJ6/9</f>
        <v>23333.333333333332</v>
      </c>
      <c r="AA6" s="1">
        <f t="shared" si="1"/>
        <v>23333.333333333332</v>
      </c>
      <c r="AB6" s="1">
        <f t="shared" si="1"/>
        <v>23333.333333333332</v>
      </c>
      <c r="AC6" s="1">
        <f t="shared" si="1"/>
        <v>23333.333333333332</v>
      </c>
      <c r="AD6" s="1">
        <f t="shared" si="1"/>
        <v>23333.333333333332</v>
      </c>
      <c r="AE6" s="1">
        <f t="shared" si="1"/>
        <v>23333.333333333332</v>
      </c>
      <c r="AF6" s="1"/>
      <c r="AG6" s="1"/>
      <c r="AH6" s="1"/>
      <c r="AI6" s="1" t="e">
        <f>SUMIF(#REF!,"completed",Table42610[[#This Row],[Act Jan-25]:[Act Dec-25]])</f>
        <v>#REF!</v>
      </c>
      <c r="AJ6" s="1">
        <f>Table42610[[#This Row],[CF05 C-Hub PF]]</f>
        <v>210000</v>
      </c>
      <c r="AK6" s="1">
        <f>SUM(Table42610[[#This Row],[Act Jan-25]:[Act Dec-25]])</f>
        <v>184135.01</v>
      </c>
      <c r="AL6" s="1">
        <f>Table42610[[#This Row],[EAC (based on YTD actuals)]]-Table42610[[#This Row],[BAC (CF05 Plan)]]</f>
        <v>-25864.989999999991</v>
      </c>
      <c r="AM6" s="1"/>
    </row>
    <row r="7" spans="1:39" ht="15" hidden="1" customHeight="1" outlineLevel="1">
      <c r="A7" s="63" t="s">
        <v>56</v>
      </c>
      <c r="B7" s="63"/>
      <c r="C7" s="63" t="s">
        <v>45</v>
      </c>
      <c r="D7" s="63"/>
      <c r="E7" s="63" t="s">
        <v>58</v>
      </c>
      <c r="F7" s="63" t="s">
        <v>47</v>
      </c>
      <c r="G7" s="63" t="s">
        <v>59</v>
      </c>
      <c r="H7" s="64" t="s">
        <v>62</v>
      </c>
      <c r="I7" s="63"/>
      <c r="J7" s="65"/>
      <c r="K7" s="66"/>
      <c r="L7" s="63"/>
      <c r="M7" s="63"/>
      <c r="N7" s="67"/>
      <c r="O7" s="67"/>
      <c r="P7" s="77"/>
      <c r="Q7" s="67"/>
      <c r="R7" s="77"/>
      <c r="S7" s="67"/>
      <c r="T7" s="77"/>
      <c r="U7" s="78"/>
      <c r="V7" s="68" t="s">
        <v>63</v>
      </c>
      <c r="W7" s="67">
        <v>21953.85</v>
      </c>
      <c r="X7" s="67"/>
      <c r="Y7" s="67"/>
      <c r="Z7" s="67">
        <f t="shared" ref="Y7:AH16" si="2">$AJ7/12</f>
        <v>0</v>
      </c>
      <c r="AA7" s="67">
        <f t="shared" si="2"/>
        <v>0</v>
      </c>
      <c r="AB7" s="67">
        <f t="shared" si="2"/>
        <v>0</v>
      </c>
      <c r="AC7" s="67">
        <f t="shared" si="2"/>
        <v>0</v>
      </c>
      <c r="AD7" s="67">
        <f t="shared" si="2"/>
        <v>0</v>
      </c>
      <c r="AE7" s="67">
        <f t="shared" si="2"/>
        <v>0</v>
      </c>
      <c r="AF7" s="67">
        <f t="shared" si="2"/>
        <v>0</v>
      </c>
      <c r="AG7" s="67">
        <f t="shared" si="2"/>
        <v>0</v>
      </c>
      <c r="AH7" s="67">
        <f t="shared" si="2"/>
        <v>0</v>
      </c>
      <c r="AI7" s="67" t="e">
        <f>SUMIF(#REF!,"completed",Table42610[[#This Row],[Act Jan-25]:[Act Dec-25]])</f>
        <v>#REF!</v>
      </c>
      <c r="AJ7" s="67">
        <f>Table42610[[#This Row],[CF05 C-Hub PF]]</f>
        <v>0</v>
      </c>
      <c r="AK7" s="67"/>
      <c r="AL7" s="67"/>
      <c r="AM7" s="1"/>
    </row>
    <row r="8" spans="1:39" ht="15" customHeight="1" collapsed="1">
      <c r="A8" t="s">
        <v>56</v>
      </c>
      <c r="C8" t="s">
        <v>45</v>
      </c>
      <c r="E8" t="s">
        <v>64</v>
      </c>
      <c r="F8" s="28" t="s">
        <v>65</v>
      </c>
      <c r="G8" s="35" t="s">
        <v>66</v>
      </c>
      <c r="H8" s="10" t="s">
        <v>67</v>
      </c>
      <c r="I8" t="s">
        <v>68</v>
      </c>
      <c r="J8" s="14">
        <v>1</v>
      </c>
      <c r="K8" s="43" t="s">
        <v>69</v>
      </c>
      <c r="L8" s="16">
        <v>1</v>
      </c>
      <c r="M8" t="e">
        <f>_xlfn.IFNA(VLOOKUP(Table42610[[#This Row],[Resource group]],#REF!,2,FALSE),"0")</f>
        <v>#REF!</v>
      </c>
      <c r="N8" s="17" t="e">
        <f>_xlfn.IFNA(VLOOKUP(Table42610[[#This Row],[Resource group]],#REF!,4,FALSE),"0")</f>
        <v>#REF!</v>
      </c>
      <c r="O8" s="1" t="e">
        <f>Table42610[[#This Row],[BP26 FTE (%) - input]]*Table42610[[#This Row],[Total Hrs 2026]]*Table42610[[#This Row],[Rate 2026]]</f>
        <v>#REF!</v>
      </c>
      <c r="P8" s="75">
        <v>78598.666666666672</v>
      </c>
      <c r="Q8" s="1">
        <v>0</v>
      </c>
      <c r="R8" s="87" t="e">
        <f>Table42610[[#This Row],[CF02 FTE(%) - input]]*Table42610[[#This Row],[Total Hrs 2026]]*Table42610[[#This Row],[Rate 2026]]</f>
        <v>#REF!</v>
      </c>
      <c r="T8" s="75">
        <v>78598.666666666672</v>
      </c>
      <c r="U8" s="76"/>
      <c r="V8" s="1" t="s">
        <v>70</v>
      </c>
      <c r="W8" s="1"/>
      <c r="X8" s="1"/>
      <c r="Y8" s="1"/>
      <c r="Z8" s="1">
        <f t="shared" si="2"/>
        <v>6549.8888888888896</v>
      </c>
      <c r="AA8" s="1">
        <f t="shared" si="2"/>
        <v>6549.8888888888896</v>
      </c>
      <c r="AB8" s="1">
        <f t="shared" si="2"/>
        <v>6549.8888888888896</v>
      </c>
      <c r="AC8" s="1">
        <f t="shared" si="2"/>
        <v>6549.8888888888896</v>
      </c>
      <c r="AD8" s="1">
        <f t="shared" si="2"/>
        <v>6549.8888888888896</v>
      </c>
      <c r="AE8" s="1">
        <f t="shared" si="2"/>
        <v>6549.8888888888896</v>
      </c>
      <c r="AF8" s="1">
        <f t="shared" si="2"/>
        <v>6549.8888888888896</v>
      </c>
      <c r="AG8" s="1">
        <f t="shared" si="2"/>
        <v>6549.8888888888896</v>
      </c>
      <c r="AH8" s="1">
        <f t="shared" si="2"/>
        <v>6549.8888888888896</v>
      </c>
      <c r="AI8" s="1" t="e">
        <f>SUMIF(#REF!,"completed",Table42610[[#This Row],[Act Jan-25]:[Act Dec-25]])</f>
        <v>#REF!</v>
      </c>
      <c r="AJ8" s="1">
        <f>Table42610[[#This Row],[CF05 C-Hub PF]]</f>
        <v>78598.666666666672</v>
      </c>
      <c r="AK8" s="1">
        <f>SUM(Table42610[[#This Row],[Act Jan-25]:[Act Dec-25]])</f>
        <v>58949.000000000007</v>
      </c>
      <c r="AL8" s="1">
        <f>Table42610[[#This Row],[EAC (based on YTD actuals)]]-Table42610[[#This Row],[BAC (CF05 Plan)]]</f>
        <v>-19649.666666666664</v>
      </c>
      <c r="AM8" s="1"/>
    </row>
    <row r="9" spans="1:39" ht="15" customHeight="1">
      <c r="A9" t="s">
        <v>56</v>
      </c>
      <c r="B9" t="s">
        <v>71</v>
      </c>
      <c r="C9" t="s">
        <v>45</v>
      </c>
      <c r="E9" t="s">
        <v>64</v>
      </c>
      <c r="F9" t="s">
        <v>72</v>
      </c>
      <c r="G9" t="s">
        <v>73</v>
      </c>
      <c r="H9" s="10" t="s">
        <v>67</v>
      </c>
      <c r="I9" t="s">
        <v>74</v>
      </c>
      <c r="J9" s="12">
        <v>1</v>
      </c>
      <c r="K9" s="12" t="s">
        <v>75</v>
      </c>
      <c r="L9" s="16">
        <v>1</v>
      </c>
      <c r="M9" t="e">
        <f>_xlfn.IFNA(VLOOKUP(Table42610[[#This Row],[Resource group]],#REF!,2,FALSE),"0")</f>
        <v>#REF!</v>
      </c>
      <c r="N9" s="1" t="e">
        <f>_xlfn.IFNA(VLOOKUP(Table42610[[#This Row],[Resource group]],#REF!,4,FALSE),"0")</f>
        <v>#REF!</v>
      </c>
      <c r="O9" s="1" t="e">
        <f>Table42610[[#This Row],[BP26 FTE (%) - input]]*Table42610[[#This Row],[Total Hrs 2026]]*Table42610[[#This Row],[Rate 2026]]</f>
        <v>#REF!</v>
      </c>
      <c r="P9" s="75">
        <v>52462.84</v>
      </c>
      <c r="Q9" s="1">
        <v>0</v>
      </c>
      <c r="R9" s="75" t="e">
        <f>Table42610[[#This Row],[CF02 FTE(%) - input]]*Table42610[[#This Row],[Total Hrs 2026]]*Table42610[[#This Row],[Rate 2026]]</f>
        <v>#REF!</v>
      </c>
      <c r="T9" s="75">
        <v>52462.84</v>
      </c>
      <c r="U9" s="76"/>
      <c r="V9" s="1"/>
      <c r="W9" s="1">
        <v>4166.1955988640002</v>
      </c>
      <c r="X9" s="1">
        <v>4107.1232760479998</v>
      </c>
      <c r="Y9" s="1">
        <v>4146.7853241359999</v>
      </c>
      <c r="Z9" s="1">
        <f t="shared" si="2"/>
        <v>4371.9033333333327</v>
      </c>
      <c r="AA9" s="1">
        <f t="shared" si="2"/>
        <v>4371.9033333333327</v>
      </c>
      <c r="AB9" s="1">
        <f t="shared" si="2"/>
        <v>4371.9033333333327</v>
      </c>
      <c r="AC9" s="1">
        <f t="shared" si="2"/>
        <v>4371.9033333333327</v>
      </c>
      <c r="AD9" s="1">
        <f t="shared" si="2"/>
        <v>4371.9033333333327</v>
      </c>
      <c r="AE9" s="1">
        <f t="shared" si="2"/>
        <v>4371.9033333333327</v>
      </c>
      <c r="AF9" s="1">
        <f t="shared" si="2"/>
        <v>4371.9033333333327</v>
      </c>
      <c r="AG9" s="1">
        <f t="shared" si="2"/>
        <v>4371.9033333333327</v>
      </c>
      <c r="AH9" s="1">
        <f t="shared" si="2"/>
        <v>4371.9033333333327</v>
      </c>
      <c r="AI9" s="1" t="e">
        <f>SUMIF(#REF!,"completed",Table42610[[#This Row],[Act Jan-25]:[Act Dec-25]])</f>
        <v>#REF!</v>
      </c>
      <c r="AJ9" s="1">
        <f>Table42610[[#This Row],[CF05 C-Hub PF]]</f>
        <v>52462.84</v>
      </c>
      <c r="AK9" s="1">
        <f>SUM(Table42610[[#This Row],[Act Jan-25]:[Act Dec-25]])</f>
        <v>51767.234199048005</v>
      </c>
      <c r="AL9" s="1">
        <f>Table42610[[#This Row],[EAC (based on YTD actuals)]]-Table42610[[#This Row],[BAC (CF05 Plan)]]</f>
        <v>-695.60580095199111</v>
      </c>
      <c r="AM9" s="1"/>
    </row>
    <row r="10" spans="1:39" ht="15" customHeight="1">
      <c r="A10" t="s">
        <v>76</v>
      </c>
      <c r="C10" t="s">
        <v>45</v>
      </c>
      <c r="E10" t="s">
        <v>77</v>
      </c>
      <c r="F10" t="s">
        <v>47</v>
      </c>
      <c r="G10" t="s">
        <v>53</v>
      </c>
      <c r="H10" s="10" t="s">
        <v>54</v>
      </c>
      <c r="I10" t="s">
        <v>43</v>
      </c>
      <c r="J10" s="12" t="s">
        <v>78</v>
      </c>
      <c r="K10" s="12"/>
      <c r="N10" s="1"/>
      <c r="O10" s="1"/>
      <c r="P10" s="75">
        <v>0</v>
      </c>
      <c r="Q10" s="1">
        <v>0</v>
      </c>
      <c r="R10" s="75">
        <f>Table42610[[#This Row],[C-Hub PF]]</f>
        <v>0</v>
      </c>
      <c r="T10" s="75">
        <v>0</v>
      </c>
      <c r="U10" s="76"/>
      <c r="V10" s="1"/>
      <c r="W10" s="1"/>
      <c r="X10" s="1"/>
      <c r="Y10" s="1">
        <f t="shared" si="2"/>
        <v>0</v>
      </c>
      <c r="Z10" s="1">
        <f t="shared" si="2"/>
        <v>0</v>
      </c>
      <c r="AA10" s="1">
        <f t="shared" si="2"/>
        <v>0</v>
      </c>
      <c r="AB10" s="1">
        <f t="shared" si="2"/>
        <v>0</v>
      </c>
      <c r="AC10" s="1">
        <f t="shared" si="2"/>
        <v>0</v>
      </c>
      <c r="AD10" s="1">
        <f t="shared" si="2"/>
        <v>0</v>
      </c>
      <c r="AE10" s="1">
        <f t="shared" si="2"/>
        <v>0</v>
      </c>
      <c r="AF10" s="1">
        <f t="shared" si="2"/>
        <v>0</v>
      </c>
      <c r="AG10" s="1">
        <f t="shared" si="2"/>
        <v>0</v>
      </c>
      <c r="AH10" s="1">
        <f t="shared" si="2"/>
        <v>0</v>
      </c>
      <c r="AI10" s="1" t="e">
        <f>SUMIF(#REF!,"completed",Table42610[[#This Row],[Act Jan-25]:[Act Dec-25]])</f>
        <v>#REF!</v>
      </c>
      <c r="AJ10" s="1">
        <f>Table42610[[#This Row],[CF05 C-Hub PF]]</f>
        <v>0</v>
      </c>
      <c r="AK10" s="1" t="e">
        <f>SUM(Table42610[[#This Row],[Act Jan-25]:[Act Dec-25]])/COUNTIF(#REF!,"completed")*12</f>
        <v>#REF!</v>
      </c>
      <c r="AL10" s="1" t="e">
        <f>Table42610[[#This Row],[EAC (based on YTD actuals)]]-Table42610[[#This Row],[BAC (CF05 Plan)]]</f>
        <v>#REF!</v>
      </c>
      <c r="AM10" s="1"/>
    </row>
    <row r="11" spans="1:39" ht="15" customHeight="1">
      <c r="A11" t="s">
        <v>79</v>
      </c>
      <c r="C11" t="s">
        <v>45</v>
      </c>
      <c r="E11" t="s">
        <v>80</v>
      </c>
      <c r="F11" t="s">
        <v>47</v>
      </c>
      <c r="G11" t="s">
        <v>81</v>
      </c>
      <c r="H11" s="10" t="s">
        <v>54</v>
      </c>
      <c r="I11" t="s">
        <v>43</v>
      </c>
      <c r="J11" s="12" t="s">
        <v>78</v>
      </c>
      <c r="K11" s="12"/>
      <c r="N11" s="1"/>
      <c r="O11" s="1"/>
      <c r="P11" s="75">
        <v>0</v>
      </c>
      <c r="Q11" s="1">
        <v>0</v>
      </c>
      <c r="R11" s="75">
        <f>Table42610[[#This Row],[C-Hub PF]]</f>
        <v>0</v>
      </c>
      <c r="T11" s="75">
        <v>0</v>
      </c>
      <c r="U11" s="76"/>
      <c r="V11" s="1"/>
      <c r="W11" s="1"/>
      <c r="X11" s="1"/>
      <c r="Y11" s="1">
        <f t="shared" si="2"/>
        <v>0</v>
      </c>
      <c r="Z11" s="1">
        <f t="shared" si="2"/>
        <v>0</v>
      </c>
      <c r="AA11" s="1">
        <f t="shared" si="2"/>
        <v>0</v>
      </c>
      <c r="AB11" s="1">
        <f t="shared" si="2"/>
        <v>0</v>
      </c>
      <c r="AC11" s="1">
        <f t="shared" si="2"/>
        <v>0</v>
      </c>
      <c r="AD11" s="1">
        <f t="shared" si="2"/>
        <v>0</v>
      </c>
      <c r="AE11" s="1">
        <f t="shared" si="2"/>
        <v>0</v>
      </c>
      <c r="AF11" s="1">
        <f t="shared" si="2"/>
        <v>0</v>
      </c>
      <c r="AG11" s="1">
        <f t="shared" si="2"/>
        <v>0</v>
      </c>
      <c r="AH11" s="1">
        <f t="shared" si="2"/>
        <v>0</v>
      </c>
      <c r="AI11" s="1" t="e">
        <f>SUMIF(#REF!,"completed",Table42610[[#This Row],[Act Jan-25]:[Act Dec-25]])</f>
        <v>#REF!</v>
      </c>
      <c r="AJ11" s="1">
        <f>Table42610[[#This Row],[CF05 C-Hub PF]]</f>
        <v>0</v>
      </c>
      <c r="AK11" s="1" t="e">
        <f>SUM(Table42610[[#This Row],[Act Jan-25]:[Act Dec-25]])/COUNTIF(#REF!,"completed")*12</f>
        <v>#REF!</v>
      </c>
      <c r="AL11" s="1" t="e">
        <f>Table42610[[#This Row],[EAC (based on YTD actuals)]]-Table42610[[#This Row],[BAC (CF05 Plan)]]</f>
        <v>#REF!</v>
      </c>
      <c r="AM11" s="1"/>
    </row>
    <row r="12" spans="1:39" ht="15" customHeight="1">
      <c r="A12" t="s">
        <v>82</v>
      </c>
      <c r="B12" t="s">
        <v>83</v>
      </c>
      <c r="C12" t="s">
        <v>45</v>
      </c>
      <c r="E12" t="s">
        <v>84</v>
      </c>
      <c r="F12" t="s">
        <v>85</v>
      </c>
      <c r="G12" t="s">
        <v>86</v>
      </c>
      <c r="H12" s="10" t="s">
        <v>67</v>
      </c>
      <c r="J12" s="12">
        <v>4</v>
      </c>
      <c r="K12" s="12"/>
      <c r="L12" s="16">
        <v>2</v>
      </c>
      <c r="M12" t="e">
        <f>_xlfn.IFNA(VLOOKUP(Table42610[[#This Row],[Resource group]],#REF!,2,FALSE),"0")</f>
        <v>#REF!</v>
      </c>
      <c r="N12" s="1" t="e">
        <f>_xlfn.IFNA(VLOOKUP(Table42610[[#This Row],[Resource group]],#REF!,4,FALSE),"0")</f>
        <v>#REF!</v>
      </c>
      <c r="O12" s="17" t="e">
        <f>Table42610[[#This Row],[BP26 FTE (%) - input]]*Table42610[[#This Row],[Total Hrs 2026]]*Table42610[[#This Row],[Rate 2026]]</f>
        <v>#REF!</v>
      </c>
      <c r="P12" s="75">
        <v>423141.91304347821</v>
      </c>
      <c r="Q12" s="1">
        <v>423141.91304347821</v>
      </c>
      <c r="R12" s="75" t="e">
        <f>Table42610[[#This Row],[CF02 FTE(%) - input]]*Table42610[[#This Row],[Total Hrs 2026]]*Table42610[[#This Row],[Rate 2026]]</f>
        <v>#REF!</v>
      </c>
      <c r="S12" s="1">
        <v>423141.91304347821</v>
      </c>
      <c r="T12" s="75">
        <v>423141.91304347821</v>
      </c>
      <c r="U12" s="76">
        <v>423141.91304347821</v>
      </c>
      <c r="V12" s="1"/>
      <c r="W12" s="1"/>
      <c r="X12" s="1"/>
      <c r="Y12" s="1"/>
      <c r="Z12" s="1">
        <f t="shared" si="2"/>
        <v>35261.82608695652</v>
      </c>
      <c r="AA12" s="1">
        <f t="shared" si="2"/>
        <v>35261.82608695652</v>
      </c>
      <c r="AB12" s="1">
        <f t="shared" si="2"/>
        <v>35261.82608695652</v>
      </c>
      <c r="AC12" s="1">
        <f t="shared" si="2"/>
        <v>35261.82608695652</v>
      </c>
      <c r="AD12" s="1">
        <f t="shared" si="2"/>
        <v>35261.82608695652</v>
      </c>
      <c r="AE12" s="1">
        <f t="shared" si="2"/>
        <v>35261.82608695652</v>
      </c>
      <c r="AF12" s="1">
        <f t="shared" si="2"/>
        <v>35261.82608695652</v>
      </c>
      <c r="AG12" s="1">
        <f t="shared" si="2"/>
        <v>35261.82608695652</v>
      </c>
      <c r="AH12" s="1">
        <f t="shared" si="2"/>
        <v>35261.82608695652</v>
      </c>
      <c r="AI12" s="1" t="e">
        <f>SUMIF(#REF!,"completed",Table42610[[#This Row],[Act Jan-25]:[Act Dec-25]])</f>
        <v>#REF!</v>
      </c>
      <c r="AJ12" s="1">
        <f>Table42610[[#This Row],[CF05 C-Hub PF]]</f>
        <v>423141.91304347821</v>
      </c>
      <c r="AK12" s="1">
        <f>SUM(W12:AH13)</f>
        <v>423141.92753623187</v>
      </c>
      <c r="AL12" s="1">
        <f>Table42610[[#This Row],[EAC (based on YTD actuals)]]-Table42610[[#This Row],[BAC (CF05 Plan)]]</f>
        <v>1.4492753660306334E-2</v>
      </c>
      <c r="AM12" s="1"/>
    </row>
    <row r="13" spans="1:39" ht="15" hidden="1" customHeight="1" outlineLevel="1">
      <c r="A13" s="63" t="s">
        <v>82</v>
      </c>
      <c r="B13" s="63" t="s">
        <v>83</v>
      </c>
      <c r="C13" s="63" t="s">
        <v>45</v>
      </c>
      <c r="D13" s="63"/>
      <c r="E13" s="63" t="s">
        <v>84</v>
      </c>
      <c r="F13" s="63" t="s">
        <v>85</v>
      </c>
      <c r="G13" s="63" t="s">
        <v>86</v>
      </c>
      <c r="H13" s="64" t="s">
        <v>62</v>
      </c>
      <c r="I13" s="63"/>
      <c r="J13" s="65"/>
      <c r="K13" s="66"/>
      <c r="L13" s="63"/>
      <c r="M13" s="63"/>
      <c r="N13" s="67"/>
      <c r="O13" s="67"/>
      <c r="P13" s="77"/>
      <c r="Q13" s="67"/>
      <c r="R13" s="77"/>
      <c r="S13" s="67"/>
      <c r="T13" s="77"/>
      <c r="U13" s="78"/>
      <c r="V13" s="68"/>
      <c r="W13" s="67">
        <v>35261.833333333336</v>
      </c>
      <c r="X13" s="67">
        <v>35261.833333333336</v>
      </c>
      <c r="Y13" s="67">
        <v>35261.82608695652</v>
      </c>
      <c r="Z13" s="67">
        <f t="shared" si="2"/>
        <v>0</v>
      </c>
      <c r="AA13" s="67">
        <f t="shared" si="2"/>
        <v>0</v>
      </c>
      <c r="AB13" s="67">
        <f t="shared" si="2"/>
        <v>0</v>
      </c>
      <c r="AC13" s="67">
        <f t="shared" si="2"/>
        <v>0</v>
      </c>
      <c r="AD13" s="67">
        <f t="shared" si="2"/>
        <v>0</v>
      </c>
      <c r="AE13" s="67">
        <f t="shared" si="2"/>
        <v>0</v>
      </c>
      <c r="AF13" s="67">
        <f t="shared" si="2"/>
        <v>0</v>
      </c>
      <c r="AG13" s="67">
        <f t="shared" si="2"/>
        <v>0</v>
      </c>
      <c r="AH13" s="67">
        <f t="shared" si="2"/>
        <v>0</v>
      </c>
      <c r="AI13" s="67" t="e">
        <f>SUMIF(#REF!,"completed",Table42610[[#This Row],[Act Jan-25]:[Act Dec-25]])</f>
        <v>#REF!</v>
      </c>
      <c r="AJ13" s="67">
        <f>Table42610[[#This Row],[CF05 C-Hub PF]]</f>
        <v>0</v>
      </c>
      <c r="AK13" s="67"/>
      <c r="AL13" s="67">
        <f>Table42610[[#This Row],[EAC (based on YTD actuals)]]-Table42610[[#This Row],[BAC (CF05 Plan)]]</f>
        <v>0</v>
      </c>
      <c r="AM13" s="1"/>
    </row>
    <row r="14" spans="1:39" ht="15" customHeight="1" collapsed="1">
      <c r="A14" s="6" t="s">
        <v>56</v>
      </c>
      <c r="B14" s="6"/>
      <c r="C14" t="s">
        <v>45</v>
      </c>
      <c r="D14" t="s">
        <v>87</v>
      </c>
      <c r="E14" t="s">
        <v>88</v>
      </c>
      <c r="F14" t="s">
        <v>47</v>
      </c>
      <c r="G14" t="s">
        <v>89</v>
      </c>
      <c r="H14" s="10" t="s">
        <v>54</v>
      </c>
      <c r="I14" t="s">
        <v>43</v>
      </c>
      <c r="J14" s="13" t="s">
        <v>90</v>
      </c>
      <c r="K14" s="13"/>
      <c r="N14" s="1"/>
      <c r="O14" s="1"/>
      <c r="P14" s="75">
        <v>370000</v>
      </c>
      <c r="Q14" s="1">
        <v>0</v>
      </c>
      <c r="R14" s="75">
        <f>Table42610[[#This Row],[C-Hub PF]]</f>
        <v>370000</v>
      </c>
      <c r="T14" s="75">
        <v>370000</v>
      </c>
      <c r="U14" s="76"/>
      <c r="V14" s="1" t="s">
        <v>91</v>
      </c>
      <c r="W14" s="1"/>
      <c r="X14" s="1"/>
      <c r="Y14" s="1">
        <v>37000</v>
      </c>
      <c r="Z14" s="1">
        <v>18500</v>
      </c>
      <c r="AA14" s="1">
        <v>18500</v>
      </c>
      <c r="AB14" s="1">
        <v>18500</v>
      </c>
      <c r="AC14" s="1">
        <v>18500</v>
      </c>
      <c r="AD14" s="1">
        <v>18500</v>
      </c>
      <c r="AE14" s="1">
        <v>18500</v>
      </c>
      <c r="AF14" s="1">
        <v>18500</v>
      </c>
      <c r="AG14" s="1">
        <v>18500</v>
      </c>
      <c r="AH14" s="1">
        <v>18500</v>
      </c>
      <c r="AI14" s="1" t="e">
        <f>SUMIF(#REF!,"completed",Table42610[[#This Row],[Act Jan-25]:[Act Dec-25]])</f>
        <v>#REF!</v>
      </c>
      <c r="AJ14" s="1">
        <f>Table42610[[#This Row],[CF05 C-Hub PF]]</f>
        <v>370000</v>
      </c>
      <c r="AK14" s="1">
        <f>SUM(W14:AH15)</f>
        <v>222000</v>
      </c>
      <c r="AL14" s="1">
        <f>Table42610[[#This Row],[EAC (based on YTD actuals)]]-Table42610[[#This Row],[BAC (CF05 Plan)]]</f>
        <v>-148000</v>
      </c>
      <c r="AM14" s="1"/>
    </row>
    <row r="15" spans="1:39" ht="15" hidden="1" customHeight="1" outlineLevel="1">
      <c r="A15" s="63" t="s">
        <v>56</v>
      </c>
      <c r="B15" s="63"/>
      <c r="C15" s="63" t="s">
        <v>45</v>
      </c>
      <c r="D15" s="63"/>
      <c r="E15" s="63" t="s">
        <v>88</v>
      </c>
      <c r="F15" s="63" t="s">
        <v>47</v>
      </c>
      <c r="G15" s="63" t="s">
        <v>89</v>
      </c>
      <c r="H15" s="64" t="s">
        <v>62</v>
      </c>
      <c r="I15" s="63"/>
      <c r="J15" s="65"/>
      <c r="K15" s="66"/>
      <c r="L15" s="63"/>
      <c r="M15" s="63"/>
      <c r="N15" s="67"/>
      <c r="O15" s="67"/>
      <c r="P15" s="77"/>
      <c r="Q15" s="67"/>
      <c r="R15" s="77"/>
      <c r="S15" s="67"/>
      <c r="T15" s="77"/>
      <c r="U15" s="78"/>
      <c r="V15" s="68" t="s">
        <v>63</v>
      </c>
      <c r="W15" s="67"/>
      <c r="X15" s="67"/>
      <c r="Y15" s="67">
        <v>18500</v>
      </c>
      <c r="Z15" s="67">
        <f t="shared" si="2"/>
        <v>0</v>
      </c>
      <c r="AA15" s="67">
        <f t="shared" si="2"/>
        <v>0</v>
      </c>
      <c r="AB15" s="67">
        <f t="shared" si="2"/>
        <v>0</v>
      </c>
      <c r="AC15" s="67">
        <f t="shared" si="2"/>
        <v>0</v>
      </c>
      <c r="AD15" s="67">
        <f t="shared" si="2"/>
        <v>0</v>
      </c>
      <c r="AE15" s="67">
        <f t="shared" si="2"/>
        <v>0</v>
      </c>
      <c r="AF15" s="67">
        <f t="shared" si="2"/>
        <v>0</v>
      </c>
      <c r="AG15" s="67">
        <f t="shared" si="2"/>
        <v>0</v>
      </c>
      <c r="AH15" s="67">
        <f t="shared" si="2"/>
        <v>0</v>
      </c>
      <c r="AI15" s="67" t="e">
        <f>SUMIF(#REF!,"completed",Table42610[[#This Row],[Act Jan-25]:[Act Dec-25]])</f>
        <v>#REF!</v>
      </c>
      <c r="AJ15" s="67">
        <f>Table42610[[#This Row],[CF05 C-Hub PF]]</f>
        <v>0</v>
      </c>
      <c r="AK15" s="67"/>
      <c r="AL15" s="67"/>
      <c r="AM15" s="1"/>
    </row>
    <row r="16" spans="1:39" ht="15" customHeight="1" collapsed="1">
      <c r="A16" t="s">
        <v>76</v>
      </c>
      <c r="B16" t="s">
        <v>92</v>
      </c>
      <c r="C16" s="6" t="s">
        <v>39</v>
      </c>
      <c r="E16" t="s">
        <v>93</v>
      </c>
      <c r="F16" t="s">
        <v>94</v>
      </c>
      <c r="G16" t="s">
        <v>53</v>
      </c>
      <c r="H16" s="10" t="s">
        <v>67</v>
      </c>
      <c r="I16" t="s">
        <v>95</v>
      </c>
      <c r="J16" s="14">
        <v>1</v>
      </c>
      <c r="K16" s="14" t="s">
        <v>69</v>
      </c>
      <c r="L16" s="16">
        <v>0.5</v>
      </c>
      <c r="M16" t="e">
        <f>_xlfn.IFNA(VLOOKUP(Table42610[[#This Row],[Resource group]],#REF!,2,FALSE),"0")</f>
        <v>#REF!</v>
      </c>
      <c r="N16" s="1" t="e">
        <f>_xlfn.IFNA(VLOOKUP(Table42610[[#This Row],[Resource group]],#REF!,4,FALSE),"0")</f>
        <v>#REF!</v>
      </c>
      <c r="O16" s="1" t="e">
        <f>Table42610[[#This Row],[BP26 FTE (%) - input]]*Table42610[[#This Row],[Total Hrs 2026]]*Table42610[[#This Row],[Rate 2026]]</f>
        <v>#REF!</v>
      </c>
      <c r="P16" s="75">
        <v>124588.8</v>
      </c>
      <c r="Q16" s="1">
        <v>0</v>
      </c>
      <c r="R16" s="75" t="e">
        <f>Table42610[[#This Row],[CF02 FTE(%) - input]]*Table42610[[#This Row],[Total Hrs 2026]]*Table42610[[#This Row],[Rate 2026]]</f>
        <v>#REF!</v>
      </c>
      <c r="T16" s="75">
        <v>124588.8</v>
      </c>
      <c r="U16" s="76"/>
      <c r="V16" s="1"/>
      <c r="W16" s="1"/>
      <c r="X16" s="1"/>
      <c r="Y16" s="1"/>
      <c r="Z16" s="1">
        <f t="shared" si="2"/>
        <v>10382.4</v>
      </c>
      <c r="AA16" s="1">
        <f t="shared" si="2"/>
        <v>10382.4</v>
      </c>
      <c r="AB16" s="1">
        <f t="shared" si="2"/>
        <v>10382.4</v>
      </c>
      <c r="AC16" s="1">
        <f t="shared" si="2"/>
        <v>10382.4</v>
      </c>
      <c r="AD16" s="1">
        <f t="shared" si="2"/>
        <v>10382.4</v>
      </c>
      <c r="AE16" s="1">
        <f t="shared" si="2"/>
        <v>10382.4</v>
      </c>
      <c r="AF16" s="1">
        <f t="shared" si="2"/>
        <v>10382.4</v>
      </c>
      <c r="AG16" s="1">
        <f t="shared" si="2"/>
        <v>10382.4</v>
      </c>
      <c r="AH16" s="1">
        <f t="shared" si="2"/>
        <v>10382.4</v>
      </c>
      <c r="AI16" s="1" t="e">
        <f>SUMIF(#REF!,"completed",Table42610[[#This Row],[Act Jan-25]:[Act Dec-25]])</f>
        <v>#REF!</v>
      </c>
      <c r="AJ16" s="1">
        <f>Table42610[[#This Row],[CF05 C-Hub PF]]</f>
        <v>124588.8</v>
      </c>
      <c r="AK16" s="1">
        <f>SUM(Table42610[[#This Row],[Act Jan-25]:[Act Dec-25]])</f>
        <v>93441.599999999991</v>
      </c>
      <c r="AL16" s="1">
        <f>Table42610[[#This Row],[EAC (based on YTD actuals)]]-Table42610[[#This Row],[BAC (CF05 Plan)]]</f>
        <v>-31147.200000000012</v>
      </c>
      <c r="AM16" s="1"/>
    </row>
    <row r="17" spans="1:39" ht="15" customHeight="1">
      <c r="A17" t="s">
        <v>96</v>
      </c>
      <c r="B17" t="s">
        <v>71</v>
      </c>
      <c r="C17" s="28" t="s">
        <v>45</v>
      </c>
      <c r="E17" t="s">
        <v>97</v>
      </c>
      <c r="F17" s="28" t="s">
        <v>65</v>
      </c>
      <c r="G17" s="35" t="s">
        <v>66</v>
      </c>
      <c r="H17" s="10" t="s">
        <v>67</v>
      </c>
      <c r="I17" t="s">
        <v>98</v>
      </c>
      <c r="J17" s="14">
        <v>2</v>
      </c>
      <c r="K17" s="14" t="s">
        <v>99</v>
      </c>
      <c r="L17" s="16">
        <v>1.5</v>
      </c>
      <c r="M17" t="e">
        <f>_xlfn.IFNA(VLOOKUP(Table42610[[#This Row],[Resource group]],#REF!,2,FALSE),"0")</f>
        <v>#REF!</v>
      </c>
      <c r="N17" s="1" t="e">
        <f>_xlfn.IFNA(VLOOKUP(Table42610[[#This Row],[Resource group]],#REF!,4,FALSE),"0")</f>
        <v>#REF!</v>
      </c>
      <c r="O17" s="1" t="e">
        <f>Table42610[[#This Row],[BP26 FTE (%) - input]]*Table42610[[#This Row],[Total Hrs 2026]]*Table42610[[#This Row],[Rate 2026]]</f>
        <v>#REF!</v>
      </c>
      <c r="P17" s="75">
        <v>117898</v>
      </c>
      <c r="Q17" s="1">
        <v>78598.666666666672</v>
      </c>
      <c r="R17" s="86" t="e">
        <f>Table42610[[#This Row],[CF02 FTE(%) - input]]*Table42610[[#This Row],[Total Hrs 2026]]*Table42610[[#This Row],[Rate 2026]]</f>
        <v>#REF!</v>
      </c>
      <c r="S17" s="8" t="e">
        <f>Table42610[[#This Row],[CF02 C-Hub PF]]/3*2</f>
        <v>#REF!</v>
      </c>
      <c r="T17" s="75">
        <v>117898</v>
      </c>
      <c r="U17" s="76">
        <v>78598.666666666672</v>
      </c>
      <c r="V17" s="1" t="s">
        <v>100</v>
      </c>
      <c r="W17" s="1">
        <v>6137.1360000000004</v>
      </c>
      <c r="X17" s="1">
        <v>14303.653120000001</v>
      </c>
      <c r="Y17" s="1">
        <v>6939.0463999999993</v>
      </c>
      <c r="Z17" s="1">
        <f t="shared" ref="Y17:AH26" si="3">$AJ17/12</f>
        <v>9824.8333333333339</v>
      </c>
      <c r="AA17" s="1">
        <f t="shared" si="3"/>
        <v>9824.8333333333339</v>
      </c>
      <c r="AB17" s="1">
        <f t="shared" si="3"/>
        <v>9824.8333333333339</v>
      </c>
      <c r="AC17" s="1">
        <f t="shared" si="3"/>
        <v>9824.8333333333339</v>
      </c>
      <c r="AD17" s="1">
        <f t="shared" si="3"/>
        <v>9824.8333333333339</v>
      </c>
      <c r="AE17" s="1">
        <f t="shared" si="3"/>
        <v>9824.8333333333339</v>
      </c>
      <c r="AF17" s="1">
        <f t="shared" si="3"/>
        <v>9824.8333333333339</v>
      </c>
      <c r="AG17" s="1">
        <f t="shared" si="3"/>
        <v>9824.8333333333339</v>
      </c>
      <c r="AH17" s="1">
        <f t="shared" si="3"/>
        <v>9824.8333333333339</v>
      </c>
      <c r="AI17" s="1" t="e">
        <f>SUMIF(#REF!,"completed",Table42610[[#This Row],[Act Jan-25]:[Act Dec-25]])</f>
        <v>#REF!</v>
      </c>
      <c r="AJ17" s="1">
        <f>Table42610[[#This Row],[CF05 C-Hub PF]]</f>
        <v>117898</v>
      </c>
      <c r="AK17" s="1">
        <f>SUM(Table42610[[#This Row],[Act Jan-25]:[Act Dec-25]])</f>
        <v>115803.33551999998</v>
      </c>
      <c r="AL17" s="1">
        <f>Table42610[[#This Row],[EAC (based on YTD actuals)]]-Table42610[[#This Row],[BAC (CF05 Plan)]]</f>
        <v>-2094.6644800000213</v>
      </c>
      <c r="AM17" s="1"/>
    </row>
    <row r="18" spans="1:39" ht="15" customHeight="1">
      <c r="A18" t="s">
        <v>96</v>
      </c>
      <c r="B18" t="s">
        <v>71</v>
      </c>
      <c r="C18" t="s">
        <v>45</v>
      </c>
      <c r="E18" t="s">
        <v>101</v>
      </c>
      <c r="F18" t="s">
        <v>102</v>
      </c>
      <c r="G18" s="35" t="s">
        <v>66</v>
      </c>
      <c r="H18" s="10" t="s">
        <v>67</v>
      </c>
      <c r="I18" t="s">
        <v>103</v>
      </c>
      <c r="J18" s="12">
        <v>1</v>
      </c>
      <c r="K18" s="12" t="s">
        <v>104</v>
      </c>
      <c r="L18" s="16">
        <v>1.0000000000000002</v>
      </c>
      <c r="M18" t="e">
        <f>_xlfn.IFNA(VLOOKUP(Table42610[[#This Row],[Resource group]],#REF!,2,FALSE),"0")</f>
        <v>#REF!</v>
      </c>
      <c r="N18" s="1" t="e">
        <f>_xlfn.IFNA(VLOOKUP(Table42610[[#This Row],[Resource group]],#REF!,4,FALSE),"0")</f>
        <v>#REF!</v>
      </c>
      <c r="O18" s="1" t="e">
        <f>Table42610[[#This Row],[BP26 FTE (%) - input]]*Table42610[[#This Row],[Total Hrs 2026]]*Table42610[[#This Row],[Rate 2026]]</f>
        <v>#REF!</v>
      </c>
      <c r="P18" s="75">
        <v>81435.784313725497</v>
      </c>
      <c r="Q18" s="1">
        <v>0</v>
      </c>
      <c r="R18" s="75" t="e">
        <f>Table42610[[#This Row],[CF02 FTE(%) - input]]*Table42610[[#This Row],[Total Hrs 2026]]*Table42610[[#This Row],[Rate 2026]]</f>
        <v>#REF!</v>
      </c>
      <c r="T18" s="75">
        <v>81435.784313725511</v>
      </c>
      <c r="U18" s="76"/>
      <c r="V18" s="1"/>
      <c r="W18" s="1">
        <v>7684.7615999999998</v>
      </c>
      <c r="X18" s="1">
        <v>8165.8915200000001</v>
      </c>
      <c r="Y18" s="1">
        <f t="shared" si="3"/>
        <v>6786.3153594771256</v>
      </c>
      <c r="Z18" s="1">
        <f t="shared" si="3"/>
        <v>6786.3153594771256</v>
      </c>
      <c r="AA18" s="1">
        <f t="shared" si="3"/>
        <v>6786.3153594771256</v>
      </c>
      <c r="AB18" s="1">
        <f t="shared" si="3"/>
        <v>6786.3153594771256</v>
      </c>
      <c r="AC18" s="1">
        <f t="shared" si="3"/>
        <v>6786.3153594771256</v>
      </c>
      <c r="AD18" s="1">
        <f t="shared" si="3"/>
        <v>6786.3153594771256</v>
      </c>
      <c r="AE18" s="1">
        <f t="shared" si="3"/>
        <v>6786.3153594771256</v>
      </c>
      <c r="AF18" s="1">
        <f t="shared" si="3"/>
        <v>6786.3153594771256</v>
      </c>
      <c r="AG18" s="1">
        <f t="shared" si="3"/>
        <v>6786.3153594771256</v>
      </c>
      <c r="AH18" s="1">
        <f t="shared" si="3"/>
        <v>6786.3153594771256</v>
      </c>
      <c r="AI18" s="1" t="e">
        <f>SUMIF(#REF!,"completed",Table42610[[#This Row],[Act Jan-25]:[Act Dec-25]])</f>
        <v>#REF!</v>
      </c>
      <c r="AJ18" s="1">
        <f>Table42610[[#This Row],[CF05 C-Hub PF]]</f>
        <v>81435.784313725511</v>
      </c>
      <c r="AK18" s="1">
        <f>SUM(Table42610[[#This Row],[Act Jan-25]:[Act Dec-25]])</f>
        <v>83713.806714771272</v>
      </c>
      <c r="AL18" s="1">
        <f>Table42610[[#This Row],[EAC (based on YTD actuals)]]-Table42610[[#This Row],[BAC (CF05 Plan)]]</f>
        <v>2278.0224010457605</v>
      </c>
      <c r="AM18" s="1"/>
    </row>
    <row r="19" spans="1:39" ht="15" customHeight="1">
      <c r="A19" t="s">
        <v>105</v>
      </c>
      <c r="C19" t="s">
        <v>45</v>
      </c>
      <c r="D19" t="s">
        <v>106</v>
      </c>
      <c r="E19" t="s">
        <v>107</v>
      </c>
      <c r="F19" t="s">
        <v>47</v>
      </c>
      <c r="G19" t="s">
        <v>108</v>
      </c>
      <c r="H19" s="10" t="s">
        <v>109</v>
      </c>
      <c r="J19" s="12" t="s">
        <v>110</v>
      </c>
      <c r="K19" s="12"/>
      <c r="N19" s="1"/>
      <c r="O19" s="1"/>
      <c r="P19" s="75">
        <v>50000</v>
      </c>
      <c r="Q19" s="1">
        <v>75000</v>
      </c>
      <c r="R19" s="75">
        <v>25000</v>
      </c>
      <c r="S19" s="1">
        <v>100000.00000000039</v>
      </c>
      <c r="T19" s="75">
        <v>25000</v>
      </c>
      <c r="U19" s="76">
        <v>100000.00000000039</v>
      </c>
      <c r="V19" s="1"/>
      <c r="W19" s="1"/>
      <c r="X19" s="1"/>
      <c r="Y19" s="1"/>
      <c r="Z19" s="1">
        <f t="shared" si="3"/>
        <v>2083.3333333333335</v>
      </c>
      <c r="AA19" s="1">
        <f t="shared" si="3"/>
        <v>2083.3333333333335</v>
      </c>
      <c r="AB19" s="1">
        <f t="shared" si="3"/>
        <v>2083.3333333333335</v>
      </c>
      <c r="AC19" s="1">
        <f t="shared" si="3"/>
        <v>2083.3333333333335</v>
      </c>
      <c r="AD19" s="1">
        <f t="shared" si="3"/>
        <v>2083.3333333333335</v>
      </c>
      <c r="AE19" s="1">
        <f t="shared" si="3"/>
        <v>2083.3333333333335</v>
      </c>
      <c r="AF19" s="1">
        <f t="shared" si="3"/>
        <v>2083.3333333333335</v>
      </c>
      <c r="AG19" s="1">
        <f t="shared" si="3"/>
        <v>2083.3333333333335</v>
      </c>
      <c r="AH19" s="1">
        <f t="shared" si="3"/>
        <v>2083.3333333333335</v>
      </c>
      <c r="AI19" s="1" t="e">
        <f>SUMIF(#REF!,"completed",Table42610[[#This Row],[Act Jan-25]:[Act Dec-25]])</f>
        <v>#REF!</v>
      </c>
      <c r="AJ19" s="1">
        <f>Table42610[[#This Row],[CF05 C-Hub PF]]</f>
        <v>25000</v>
      </c>
      <c r="AK19" s="1">
        <f>SUM(Table42610[[#This Row],[Act Jan-25]:[Act Dec-25]])</f>
        <v>18750</v>
      </c>
      <c r="AL19" s="1">
        <f>Table42610[[#This Row],[EAC (based on YTD actuals)]]-Table42610[[#This Row],[BAC (CF05 Plan)]]</f>
        <v>-6250</v>
      </c>
      <c r="AM19" s="1"/>
    </row>
    <row r="20" spans="1:39" ht="15" customHeight="1">
      <c r="A20" t="s">
        <v>111</v>
      </c>
      <c r="C20" t="s">
        <v>45</v>
      </c>
      <c r="D20" t="s">
        <v>112</v>
      </c>
      <c r="E20" t="s">
        <v>113</v>
      </c>
      <c r="F20" t="s">
        <v>47</v>
      </c>
      <c r="G20" t="s">
        <v>108</v>
      </c>
      <c r="H20" s="10" t="s">
        <v>109</v>
      </c>
      <c r="J20" s="12" t="s">
        <v>110</v>
      </c>
      <c r="K20" s="12"/>
      <c r="N20" s="1"/>
      <c r="O20" s="1"/>
      <c r="P20" s="75">
        <v>50000</v>
      </c>
      <c r="Q20" s="1">
        <v>75000</v>
      </c>
      <c r="R20" s="75">
        <v>25000</v>
      </c>
      <c r="S20" s="1">
        <v>100000.00000000039</v>
      </c>
      <c r="T20" s="75">
        <v>25000</v>
      </c>
      <c r="U20" s="76">
        <v>100000.00000000039</v>
      </c>
      <c r="V20" s="1"/>
      <c r="W20" s="1"/>
      <c r="X20" s="1"/>
      <c r="Y20" s="1"/>
      <c r="Z20" s="1">
        <f t="shared" si="3"/>
        <v>2083.3333333333335</v>
      </c>
      <c r="AA20" s="1">
        <f t="shared" si="3"/>
        <v>2083.3333333333335</v>
      </c>
      <c r="AB20" s="1">
        <f t="shared" si="3"/>
        <v>2083.3333333333335</v>
      </c>
      <c r="AC20" s="1">
        <f t="shared" si="3"/>
        <v>2083.3333333333335</v>
      </c>
      <c r="AD20" s="1">
        <f t="shared" si="3"/>
        <v>2083.3333333333335</v>
      </c>
      <c r="AE20" s="1">
        <f t="shared" si="3"/>
        <v>2083.3333333333335</v>
      </c>
      <c r="AF20" s="1">
        <f t="shared" si="3"/>
        <v>2083.3333333333335</v>
      </c>
      <c r="AG20" s="1">
        <f t="shared" si="3"/>
        <v>2083.3333333333335</v>
      </c>
      <c r="AH20" s="1">
        <f t="shared" si="3"/>
        <v>2083.3333333333335</v>
      </c>
      <c r="AI20" s="1" t="e">
        <f>SUMIF(#REF!,"completed",Table42610[[#This Row],[Act Jan-25]:[Act Dec-25]])</f>
        <v>#REF!</v>
      </c>
      <c r="AJ20" s="1">
        <f>Table42610[[#This Row],[CF05 C-Hub PF]]</f>
        <v>25000</v>
      </c>
      <c r="AK20" s="1">
        <f>SUM(Table42610[[#This Row],[Act Jan-25]:[Act Dec-25]])</f>
        <v>18750</v>
      </c>
      <c r="AL20" s="1">
        <f>Table42610[[#This Row],[EAC (based on YTD actuals)]]-Table42610[[#This Row],[BAC (CF05 Plan)]]</f>
        <v>-6250</v>
      </c>
      <c r="AM20" s="1"/>
    </row>
    <row r="21" spans="1:39" ht="15" customHeight="1">
      <c r="A21" t="s">
        <v>96</v>
      </c>
      <c r="B21" t="s">
        <v>114</v>
      </c>
      <c r="C21" t="s">
        <v>39</v>
      </c>
      <c r="E21" t="s">
        <v>115</v>
      </c>
      <c r="F21" t="s">
        <v>116</v>
      </c>
      <c r="G21" t="s">
        <v>53</v>
      </c>
      <c r="H21" s="10" t="s">
        <v>67</v>
      </c>
      <c r="I21" t="s">
        <v>117</v>
      </c>
      <c r="J21" s="12">
        <v>1</v>
      </c>
      <c r="K21" s="12"/>
      <c r="L21" s="16">
        <v>0.2</v>
      </c>
      <c r="M21" t="e">
        <f>_xlfn.IFNA(VLOOKUP(Table42610[[#This Row],[Resource group]],#REF!,2,FALSE),"0")</f>
        <v>#REF!</v>
      </c>
      <c r="N21" s="1" t="e">
        <f>_xlfn.IFNA(VLOOKUP(Table42610[[#This Row],[Resource group]],#REF!,4,FALSE),"0")</f>
        <v>#REF!</v>
      </c>
      <c r="O21" s="1" t="e">
        <f>Table42610[[#This Row],[BP26 FTE (%) - input]]*Table42610[[#This Row],[Total Hrs 2026]]*Table42610[[#This Row],[Rate 2026]]</f>
        <v>#REF!</v>
      </c>
      <c r="P21" s="75">
        <v>42144.30000000001</v>
      </c>
      <c r="Q21" s="1">
        <v>63216.450000000004</v>
      </c>
      <c r="R21" s="75">
        <v>0</v>
      </c>
      <c r="T21" s="75">
        <v>0</v>
      </c>
      <c r="U21" s="76"/>
      <c r="V21" s="1"/>
      <c r="W21" s="1"/>
      <c r="X21" s="1"/>
      <c r="Y21" s="1"/>
      <c r="Z21" s="1">
        <f t="shared" si="3"/>
        <v>0</v>
      </c>
      <c r="AA21" s="1">
        <f t="shared" si="3"/>
        <v>0</v>
      </c>
      <c r="AB21" s="1">
        <f t="shared" si="3"/>
        <v>0</v>
      </c>
      <c r="AC21" s="1">
        <f t="shared" si="3"/>
        <v>0</v>
      </c>
      <c r="AD21" s="1">
        <f t="shared" si="3"/>
        <v>0</v>
      </c>
      <c r="AE21" s="1">
        <f t="shared" si="3"/>
        <v>0</v>
      </c>
      <c r="AF21" s="1">
        <f t="shared" si="3"/>
        <v>0</v>
      </c>
      <c r="AG21" s="1">
        <f t="shared" si="3"/>
        <v>0</v>
      </c>
      <c r="AH21" s="1">
        <f t="shared" si="3"/>
        <v>0</v>
      </c>
      <c r="AI21" s="1" t="e">
        <f>SUMIF(#REF!,"completed",Table42610[[#This Row],[Act Jan-25]:[Act Dec-25]])</f>
        <v>#REF!</v>
      </c>
      <c r="AJ21" s="1">
        <f>Table42610[[#This Row],[CF05 C-Hub PF]]</f>
        <v>0</v>
      </c>
      <c r="AK21" s="1" t="e">
        <f>SUM(Table42610[[#This Row],[Act Jan-25]:[Act Dec-25]])/COUNTIF(#REF!,"completed")*12</f>
        <v>#REF!</v>
      </c>
      <c r="AL21" s="1" t="e">
        <f>Table42610[[#This Row],[EAC (based on YTD actuals)]]-Table42610[[#This Row],[BAC (CF05 Plan)]]</f>
        <v>#REF!</v>
      </c>
      <c r="AM21" s="1"/>
    </row>
    <row r="22" spans="1:39" ht="15" customHeight="1">
      <c r="A22" t="s">
        <v>96</v>
      </c>
      <c r="B22" t="s">
        <v>114</v>
      </c>
      <c r="C22" s="6" t="s">
        <v>45</v>
      </c>
      <c r="D22" s="6"/>
      <c r="E22" t="s">
        <v>115</v>
      </c>
      <c r="F22" t="s">
        <v>102</v>
      </c>
      <c r="G22" t="s">
        <v>66</v>
      </c>
      <c r="H22" s="10" t="s">
        <v>67</v>
      </c>
      <c r="I22" t="s">
        <v>118</v>
      </c>
      <c r="J22" s="15"/>
      <c r="K22" s="12" t="s">
        <v>104</v>
      </c>
      <c r="L22" s="16">
        <v>0.5</v>
      </c>
      <c r="M22" t="e">
        <f>_xlfn.IFNA(VLOOKUP(Table42610[[#This Row],[Resource group]],#REF!,2,FALSE),"0")</f>
        <v>#REF!</v>
      </c>
      <c r="N22" s="1" t="e">
        <f>_xlfn.IFNA(VLOOKUP(Table42610[[#This Row],[Resource group]],#REF!,4,FALSE),"0")</f>
        <v>#REF!</v>
      </c>
      <c r="O22" s="1" t="e">
        <f>Table42610[[#This Row],[BP26 FTE (%) - input]]*Table42610[[#This Row],[Total Hrs 2026]]*Table42610[[#This Row],[Rate 2026]]</f>
        <v>#REF!</v>
      </c>
      <c r="P22" s="75"/>
      <c r="Q22" s="1"/>
      <c r="R22" s="75" t="e">
        <f>Table42610[[#This Row],[CF02 FTE(%) - input]]*Table42610[[#This Row],[Total Hrs 2026]]*Table42610[[#This Row],[Rate 2026]]</f>
        <v>#REF!</v>
      </c>
      <c r="S22" s="1" t="e">
        <f>Table42610[[#This Row],[CF02 C-Hub PF]]</f>
        <v>#REF!</v>
      </c>
      <c r="T22" s="75">
        <v>40717.892156862748</v>
      </c>
      <c r="U22" s="76">
        <v>40717.892156862748</v>
      </c>
      <c r="V22" s="1"/>
      <c r="W22" s="1">
        <v>3201.9839999999999</v>
      </c>
      <c r="X22" s="1">
        <v>4056.2598399999997</v>
      </c>
      <c r="Y22" s="1">
        <v>4590.4460799999997</v>
      </c>
      <c r="Z22" s="1">
        <f t="shared" si="3"/>
        <v>3393.1576797385624</v>
      </c>
      <c r="AA22" s="1">
        <f t="shared" si="3"/>
        <v>3393.1576797385624</v>
      </c>
      <c r="AB22" s="1">
        <f t="shared" si="3"/>
        <v>3393.1576797385624</v>
      </c>
      <c r="AC22" s="1">
        <f t="shared" si="3"/>
        <v>3393.1576797385624</v>
      </c>
      <c r="AD22" s="1">
        <f t="shared" si="3"/>
        <v>3393.1576797385624</v>
      </c>
      <c r="AE22" s="1">
        <f t="shared" si="3"/>
        <v>3393.1576797385624</v>
      </c>
      <c r="AF22" s="1">
        <f t="shared" si="3"/>
        <v>3393.1576797385624</v>
      </c>
      <c r="AG22" s="1">
        <f t="shared" si="3"/>
        <v>3393.1576797385624</v>
      </c>
      <c r="AH22" s="1">
        <f t="shared" si="3"/>
        <v>3393.1576797385624</v>
      </c>
      <c r="AI22" s="1" t="e">
        <f>SUMIF(#REF!,"completed",Table42610[[#This Row],[Act Jan-25]:[Act Dec-25]])</f>
        <v>#REF!</v>
      </c>
      <c r="AJ22" s="1">
        <f>Table42610[[#This Row],[CF05 C-Hub PF]]</f>
        <v>40717.892156862748</v>
      </c>
      <c r="AK22" s="1">
        <f>SUM(Table42610[[#This Row],[Act Jan-25]:[Act Dec-25]])</f>
        <v>42387.109037647075</v>
      </c>
      <c r="AL22" s="1">
        <f>Table42610[[#This Row],[EAC (based on YTD actuals)]]-Table42610[[#This Row],[BAC (CF05 Plan)]]</f>
        <v>1669.2168807843263</v>
      </c>
      <c r="AM22" s="1"/>
    </row>
    <row r="23" spans="1:39" ht="15" customHeight="1">
      <c r="A23" t="s">
        <v>56</v>
      </c>
      <c r="B23" t="s">
        <v>119</v>
      </c>
      <c r="C23" t="s">
        <v>45</v>
      </c>
      <c r="E23" t="s">
        <v>120</v>
      </c>
      <c r="F23" t="s">
        <v>72</v>
      </c>
      <c r="G23" t="s">
        <v>73</v>
      </c>
      <c r="H23" s="10" t="s">
        <v>67</v>
      </c>
      <c r="I23" t="s">
        <v>121</v>
      </c>
      <c r="J23" s="12">
        <v>0.35</v>
      </c>
      <c r="K23" s="12"/>
      <c r="L23" s="58">
        <v>0.5</v>
      </c>
      <c r="M23" t="e">
        <f>_xlfn.IFNA(VLOOKUP(Table42610[[#This Row],[Resource group]],#REF!,2,FALSE),"0")</f>
        <v>#REF!</v>
      </c>
      <c r="N23" s="1" t="e">
        <f>_xlfn.IFNA(VLOOKUP(Table42610[[#This Row],[Resource group]],#REF!,4,FALSE),"0")</f>
        <v>#REF!</v>
      </c>
      <c r="O23" s="1" t="e">
        <f>Table42610[[#This Row],[BP26 FTE (%) - input]]*Table42610[[#This Row],[Total Hrs 2026]]*Table42610[[#This Row],[Rate 2026]]</f>
        <v>#REF!</v>
      </c>
      <c r="P23" s="75">
        <v>18361.993999999995</v>
      </c>
      <c r="Q23" s="1">
        <v>0</v>
      </c>
      <c r="R23" s="75" t="e">
        <f>Table42610[[#This Row],[CF02 FTE(%) - input]]*Table42610[[#This Row],[Total Hrs 2026]]*Table42610[[#This Row],[Rate 2026]]</f>
        <v>#REF!</v>
      </c>
      <c r="T23" s="75">
        <v>26231.42</v>
      </c>
      <c r="U23" s="76"/>
      <c r="V23" s="1"/>
      <c r="W23" s="1">
        <v>1602.3829226400001</v>
      </c>
      <c r="X23" s="1">
        <v>1842.9399315600001</v>
      </c>
      <c r="Y23" s="1">
        <v>1860.7370044199999</v>
      </c>
      <c r="Z23" s="1">
        <f t="shared" si="3"/>
        <v>2185.9516666666664</v>
      </c>
      <c r="AA23" s="1">
        <f t="shared" si="3"/>
        <v>2185.9516666666664</v>
      </c>
      <c r="AB23" s="1">
        <f t="shared" si="3"/>
        <v>2185.9516666666664</v>
      </c>
      <c r="AC23" s="1">
        <f t="shared" si="3"/>
        <v>2185.9516666666664</v>
      </c>
      <c r="AD23" s="1">
        <f t="shared" si="3"/>
        <v>2185.9516666666664</v>
      </c>
      <c r="AE23" s="1">
        <f t="shared" si="3"/>
        <v>2185.9516666666664</v>
      </c>
      <c r="AF23" s="1">
        <f t="shared" si="3"/>
        <v>2185.9516666666664</v>
      </c>
      <c r="AG23" s="1">
        <f t="shared" si="3"/>
        <v>2185.9516666666664</v>
      </c>
      <c r="AH23" s="1">
        <f t="shared" si="3"/>
        <v>2185.9516666666664</v>
      </c>
      <c r="AI23" s="1" t="e">
        <f>SUMIF(#REF!,"completed",Table42610[[#This Row],[Act Jan-25]:[Act Dec-25]])</f>
        <v>#REF!</v>
      </c>
      <c r="AJ23" s="1">
        <f>Table42610[[#This Row],[CF05 C-Hub PF]]</f>
        <v>26231.42</v>
      </c>
      <c r="AK23" s="1">
        <f>SUM(Table42610[[#This Row],[Act Jan-25]:[Act Dec-25]])</f>
        <v>24979.624858620002</v>
      </c>
      <c r="AL23" s="1">
        <f>Table42610[[#This Row],[EAC (based on YTD actuals)]]-Table42610[[#This Row],[BAC (CF05 Plan)]]</f>
        <v>-1251.7951413799965</v>
      </c>
      <c r="AM23" s="1"/>
    </row>
    <row r="24" spans="1:39" ht="15" customHeight="1">
      <c r="A24" t="s">
        <v>56</v>
      </c>
      <c r="B24" t="s">
        <v>119</v>
      </c>
      <c r="C24" t="s">
        <v>45</v>
      </c>
      <c r="E24" t="s">
        <v>122</v>
      </c>
      <c r="F24" s="28" t="s">
        <v>65</v>
      </c>
      <c r="G24" t="s">
        <v>73</v>
      </c>
      <c r="H24" s="10" t="s">
        <v>67</v>
      </c>
      <c r="I24" t="s">
        <v>123</v>
      </c>
      <c r="J24" s="12">
        <v>0.25</v>
      </c>
      <c r="K24" s="12" t="s">
        <v>124</v>
      </c>
      <c r="L24" s="16">
        <v>0.25</v>
      </c>
      <c r="M24" t="e">
        <f>_xlfn.IFNA(VLOOKUP(Table42610[[#This Row],[Resource group]],#REF!,2,FALSE),"0")</f>
        <v>#REF!</v>
      </c>
      <c r="N24" s="1" t="e">
        <f>_xlfn.IFNA(VLOOKUP(Table42610[[#This Row],[Resource group]],#REF!,4,FALSE),"0")</f>
        <v>#REF!</v>
      </c>
      <c r="O24" s="1" t="e">
        <f>Table42610[[#This Row],[BP26 FTE (%) - input]]*Table42610[[#This Row],[Total Hrs 2026]]*Table42610[[#This Row],[Rate 2026]]</f>
        <v>#REF!</v>
      </c>
      <c r="P24" s="75">
        <v>19649.666666666668</v>
      </c>
      <c r="Q24" s="1">
        <v>0</v>
      </c>
      <c r="R24" s="75" t="e">
        <f>Table42610[[#This Row],[CF02 FTE(%) - input]]*Table42610[[#This Row],[Total Hrs 2026]]*Table42610[[#This Row],[Rate 2026]]</f>
        <v>#REF!</v>
      </c>
      <c r="T24" s="75">
        <v>19649.666666666668</v>
      </c>
      <c r="U24" s="76"/>
      <c r="V24" s="1"/>
      <c r="W24" s="94">
        <v>1387.5264</v>
      </c>
      <c r="X24" s="94">
        <v>7472.0576000000001</v>
      </c>
      <c r="Y24" s="94">
        <v>5871.5007999999998</v>
      </c>
      <c r="Z24" s="1">
        <f t="shared" si="3"/>
        <v>1637.4722222222224</v>
      </c>
      <c r="AA24" s="1">
        <f t="shared" si="3"/>
        <v>1637.4722222222224</v>
      </c>
      <c r="AB24" s="1">
        <f t="shared" si="3"/>
        <v>1637.4722222222224</v>
      </c>
      <c r="AC24" s="1">
        <f t="shared" si="3"/>
        <v>1637.4722222222224</v>
      </c>
      <c r="AD24" s="1">
        <f t="shared" si="3"/>
        <v>1637.4722222222224</v>
      </c>
      <c r="AE24" s="1">
        <f t="shared" si="3"/>
        <v>1637.4722222222224</v>
      </c>
      <c r="AF24" s="1">
        <f t="shared" si="3"/>
        <v>1637.4722222222224</v>
      </c>
      <c r="AG24" s="1">
        <f t="shared" si="3"/>
        <v>1637.4722222222224</v>
      </c>
      <c r="AH24" s="1">
        <f t="shared" si="3"/>
        <v>1637.4722222222224</v>
      </c>
      <c r="AI24" s="1" t="e">
        <f>SUMIF(#REF!,"completed",Table42610[[#This Row],[Act Jan-25]:[Act Dec-25]])</f>
        <v>#REF!</v>
      </c>
      <c r="AJ24" s="1">
        <f>Table42610[[#This Row],[CF05 C-Hub PF]]</f>
        <v>19649.666666666668</v>
      </c>
      <c r="AK24" s="1">
        <f>SUM(Table42610[[#This Row],[Act Jan-25]:[Act Dec-25]])</f>
        <v>29468.334800000004</v>
      </c>
      <c r="AL24" s="1">
        <f>Table42610[[#This Row],[EAC (based on YTD actuals)]]-Table42610[[#This Row],[BAC (CF05 Plan)]]</f>
        <v>9818.6681333333363</v>
      </c>
      <c r="AM24" s="1"/>
    </row>
    <row r="25" spans="1:39" ht="15" customHeight="1">
      <c r="A25" t="s">
        <v>56</v>
      </c>
      <c r="B25" t="s">
        <v>119</v>
      </c>
      <c r="C25" t="s">
        <v>45</v>
      </c>
      <c r="E25" t="s">
        <v>125</v>
      </c>
      <c r="F25" t="s">
        <v>126</v>
      </c>
      <c r="G25" t="s">
        <v>73</v>
      </c>
      <c r="H25" s="10" t="s">
        <v>67</v>
      </c>
      <c r="I25" t="s">
        <v>127</v>
      </c>
      <c r="J25" s="12">
        <v>0.5</v>
      </c>
      <c r="K25" s="12"/>
      <c r="L25" s="16">
        <v>0.5</v>
      </c>
      <c r="M25" t="e">
        <f>_xlfn.IFNA(VLOOKUP(Table42610[[#This Row],[Resource group]],#REF!,2,FALSE),"0")</f>
        <v>#REF!</v>
      </c>
      <c r="N25" s="1" t="e">
        <f>_xlfn.IFNA(VLOOKUP(Table42610[[#This Row],[Resource group]],#REF!,4,FALSE),"0")</f>
        <v>#REF!</v>
      </c>
      <c r="O25" s="1" t="e">
        <f>Table42610[[#This Row],[BP26 FTE (%) - input]]*Table42610[[#This Row],[Total Hrs 2026]]*Table42610[[#This Row],[Rate 2026]]</f>
        <v>#REF!</v>
      </c>
      <c r="P25" s="75">
        <v>19721.52</v>
      </c>
      <c r="Q25" s="1">
        <v>0</v>
      </c>
      <c r="R25" s="75" t="e">
        <f>Table42610[[#This Row],[CF02 FTE(%) - input]]*Table42610[[#This Row],[Total Hrs 2026]]*Table42610[[#This Row],[Rate 2026]]</f>
        <v>#REF!</v>
      </c>
      <c r="T25" s="75">
        <v>19721.52</v>
      </c>
      <c r="U25" s="76"/>
      <c r="V25" s="1"/>
      <c r="W25" s="1">
        <v>1574.6042002080001</v>
      </c>
      <c r="X25" s="1">
        <v>1552.277949456</v>
      </c>
      <c r="Y25" s="1">
        <v>1567.268130792</v>
      </c>
      <c r="Z25" s="1">
        <f t="shared" si="3"/>
        <v>1643.46</v>
      </c>
      <c r="AA25" s="1">
        <f t="shared" si="3"/>
        <v>1643.46</v>
      </c>
      <c r="AB25" s="1">
        <f t="shared" si="3"/>
        <v>1643.46</v>
      </c>
      <c r="AC25" s="1">
        <f t="shared" si="3"/>
        <v>1643.46</v>
      </c>
      <c r="AD25" s="1">
        <f t="shared" si="3"/>
        <v>1643.46</v>
      </c>
      <c r="AE25" s="1">
        <f t="shared" si="3"/>
        <v>1643.46</v>
      </c>
      <c r="AF25" s="1">
        <f t="shared" si="3"/>
        <v>1643.46</v>
      </c>
      <c r="AG25" s="1">
        <f t="shared" si="3"/>
        <v>1643.46</v>
      </c>
      <c r="AH25" s="1">
        <f t="shared" si="3"/>
        <v>1643.46</v>
      </c>
      <c r="AI25" s="1" t="e">
        <f>SUMIF(#REF!,"completed",Table42610[[#This Row],[Act Jan-25]:[Act Dec-25]])</f>
        <v>#REF!</v>
      </c>
      <c r="AJ25" s="1">
        <f>Table42610[[#This Row],[CF05 C-Hub PF]]</f>
        <v>19721.52</v>
      </c>
      <c r="AK25" s="1">
        <f>SUM(Table42610[[#This Row],[Act Jan-25]:[Act Dec-25]])</f>
        <v>19485.290280455996</v>
      </c>
      <c r="AL25" s="1">
        <f>Table42610[[#This Row],[EAC (based on YTD actuals)]]-Table42610[[#This Row],[BAC (CF05 Plan)]]</f>
        <v>-236.22971954400418</v>
      </c>
      <c r="AM25" s="1"/>
    </row>
    <row r="26" spans="1:39" ht="15" customHeight="1">
      <c r="A26" t="s">
        <v>76</v>
      </c>
      <c r="B26" t="s">
        <v>92</v>
      </c>
      <c r="C26" t="s">
        <v>45</v>
      </c>
      <c r="D26" t="s">
        <v>128</v>
      </c>
      <c r="E26" t="s">
        <v>129</v>
      </c>
      <c r="F26" t="s">
        <v>47</v>
      </c>
      <c r="G26" t="s">
        <v>130</v>
      </c>
      <c r="H26" s="10" t="s">
        <v>54</v>
      </c>
      <c r="I26" t="s">
        <v>131</v>
      </c>
      <c r="J26" s="12" t="s">
        <v>132</v>
      </c>
      <c r="K26" s="12"/>
      <c r="N26" s="1"/>
      <c r="O26" s="1"/>
      <c r="P26" s="75">
        <v>87000</v>
      </c>
      <c r="Q26" s="1">
        <v>0</v>
      </c>
      <c r="R26" s="75">
        <f>Table42610[[#This Row],[C-Hub PF]]</f>
        <v>87000</v>
      </c>
      <c r="T26" s="86">
        <v>0</v>
      </c>
      <c r="U26" s="76"/>
      <c r="V26" s="1" t="s">
        <v>133</v>
      </c>
      <c r="W26" s="1"/>
      <c r="X26" s="1"/>
      <c r="Y26" s="1">
        <f t="shared" si="3"/>
        <v>0</v>
      </c>
      <c r="Z26" s="1">
        <f t="shared" si="3"/>
        <v>0</v>
      </c>
      <c r="AA26" s="1">
        <f t="shared" si="3"/>
        <v>0</v>
      </c>
      <c r="AB26" s="1">
        <f t="shared" si="3"/>
        <v>0</v>
      </c>
      <c r="AC26" s="1">
        <f t="shared" si="3"/>
        <v>0</v>
      </c>
      <c r="AD26" s="1">
        <f t="shared" si="3"/>
        <v>0</v>
      </c>
      <c r="AE26" s="1">
        <f t="shared" si="3"/>
        <v>0</v>
      </c>
      <c r="AF26" s="1">
        <f t="shared" si="3"/>
        <v>0</v>
      </c>
      <c r="AG26" s="1">
        <f t="shared" si="3"/>
        <v>0</v>
      </c>
      <c r="AH26" s="1">
        <f t="shared" si="3"/>
        <v>0</v>
      </c>
      <c r="AI26" s="1" t="e">
        <f>SUMIF(#REF!,"completed",Table42610[[#This Row],[Act Jan-25]:[Act Dec-25]])</f>
        <v>#REF!</v>
      </c>
      <c r="AJ26" s="1">
        <f>Table42610[[#This Row],[CF05 C-Hub PF]]</f>
        <v>0</v>
      </c>
      <c r="AK26" s="1">
        <f>SUM(W26:AH27)</f>
        <v>0</v>
      </c>
      <c r="AL26" s="1">
        <f>Table42610[[#This Row],[EAC (based on YTD actuals)]]-Table42610[[#This Row],[BAC (CF05 Plan)]]</f>
        <v>0</v>
      </c>
      <c r="AM26" s="1"/>
    </row>
    <row r="27" spans="1:39" ht="15" hidden="1" customHeight="1" outlineLevel="1">
      <c r="A27" s="63" t="s">
        <v>76</v>
      </c>
      <c r="B27" s="63" t="s">
        <v>92</v>
      </c>
      <c r="C27" s="63" t="s">
        <v>45</v>
      </c>
      <c r="D27" s="63"/>
      <c r="E27" s="63" t="s">
        <v>129</v>
      </c>
      <c r="F27" s="63" t="s">
        <v>47</v>
      </c>
      <c r="G27" s="63" t="s">
        <v>130</v>
      </c>
      <c r="H27" s="64" t="s">
        <v>62</v>
      </c>
      <c r="I27" s="63"/>
      <c r="J27" s="65"/>
      <c r="K27" s="66"/>
      <c r="L27" s="63"/>
      <c r="M27" s="63"/>
      <c r="N27" s="67"/>
      <c r="O27" s="67"/>
      <c r="P27" s="77"/>
      <c r="Q27" s="67"/>
      <c r="R27" s="77"/>
      <c r="S27" s="67"/>
      <c r="T27" s="77"/>
      <c r="U27" s="78"/>
      <c r="V27" s="68" t="s">
        <v>63</v>
      </c>
      <c r="W27" s="67"/>
      <c r="X27" s="67"/>
      <c r="Y27" s="67">
        <f t="shared" ref="Y27:AH36" si="4">$AJ27/12</f>
        <v>0</v>
      </c>
      <c r="Z27" s="67">
        <f t="shared" si="4"/>
        <v>0</v>
      </c>
      <c r="AA27" s="67">
        <f t="shared" si="4"/>
        <v>0</v>
      </c>
      <c r="AB27" s="67">
        <f t="shared" si="4"/>
        <v>0</v>
      </c>
      <c r="AC27" s="67">
        <f t="shared" si="4"/>
        <v>0</v>
      </c>
      <c r="AD27" s="67">
        <f t="shared" si="4"/>
        <v>0</v>
      </c>
      <c r="AE27" s="67">
        <f t="shared" si="4"/>
        <v>0</v>
      </c>
      <c r="AF27" s="67">
        <f t="shared" si="4"/>
        <v>0</v>
      </c>
      <c r="AG27" s="67">
        <f t="shared" si="4"/>
        <v>0</v>
      </c>
      <c r="AH27" s="67">
        <f t="shared" si="4"/>
        <v>0</v>
      </c>
      <c r="AI27" s="67" t="e">
        <f>SUMIF(#REF!,"completed",Table42610[[#This Row],[Act Jan-25]:[Act Dec-25]])</f>
        <v>#REF!</v>
      </c>
      <c r="AJ27" s="67">
        <f>Table42610[[#This Row],[CF05 C-Hub PF]]</f>
        <v>0</v>
      </c>
      <c r="AK27" s="67"/>
      <c r="AL27" s="67"/>
      <c r="AM27" s="1"/>
    </row>
    <row r="28" spans="1:39" ht="15" customHeight="1" collapsed="1">
      <c r="A28" t="s">
        <v>76</v>
      </c>
      <c r="B28" t="s">
        <v>92</v>
      </c>
      <c r="C28" s="6" t="s">
        <v>39</v>
      </c>
      <c r="E28" t="s">
        <v>134</v>
      </c>
      <c r="F28" t="s">
        <v>135</v>
      </c>
      <c r="G28" t="s">
        <v>136</v>
      </c>
      <c r="H28" s="10" t="s">
        <v>67</v>
      </c>
      <c r="I28" t="s">
        <v>137</v>
      </c>
      <c r="J28" s="12">
        <v>1</v>
      </c>
      <c r="K28" s="12"/>
      <c r="L28" s="16">
        <v>1</v>
      </c>
      <c r="M28" t="e">
        <f>_xlfn.IFNA(VLOOKUP(Table42610[[#This Row],[Resource group]],#REF!,2,FALSE),"0")</f>
        <v>#REF!</v>
      </c>
      <c r="N28" s="1" t="e">
        <f>_xlfn.IFNA(VLOOKUP(Table42610[[#This Row],[Resource group]],#REF!,4,FALSE),"0")</f>
        <v>#REF!</v>
      </c>
      <c r="O28" s="1" t="e">
        <f>Table42610[[#This Row],[BP26 FTE (%) - input]]*Table42610[[#This Row],[Total Hrs 2026]]*Table42610[[#This Row],[Rate 2026]]</f>
        <v>#REF!</v>
      </c>
      <c r="P28" s="75">
        <v>226865.10000000006</v>
      </c>
      <c r="Q28" s="1">
        <v>0</v>
      </c>
      <c r="R28" s="75" t="e">
        <f>Table42610[[#This Row],[CF02 FTE(%) - input]]*Table42610[[#This Row],[Total Hrs 2026]]*Table42610[[#This Row],[Rate 2026]]</f>
        <v>#REF!</v>
      </c>
      <c r="T28" s="75">
        <v>226865.10000000006</v>
      </c>
      <c r="U28" s="76"/>
      <c r="V28" s="1"/>
      <c r="W28" s="1">
        <v>14975.621999999999</v>
      </c>
      <c r="X28" s="1">
        <v>23139.679</v>
      </c>
      <c r="Y28" s="1">
        <v>21045</v>
      </c>
      <c r="Z28" s="1">
        <f t="shared" si="4"/>
        <v>18905.425000000007</v>
      </c>
      <c r="AA28" s="1">
        <f t="shared" si="4"/>
        <v>18905.425000000007</v>
      </c>
      <c r="AB28" s="1">
        <f t="shared" si="4"/>
        <v>18905.425000000007</v>
      </c>
      <c r="AC28" s="1">
        <f t="shared" si="4"/>
        <v>18905.425000000007</v>
      </c>
      <c r="AD28" s="1">
        <f t="shared" si="4"/>
        <v>18905.425000000007</v>
      </c>
      <c r="AE28" s="1">
        <f t="shared" si="4"/>
        <v>18905.425000000007</v>
      </c>
      <c r="AF28" s="1">
        <f t="shared" si="4"/>
        <v>18905.425000000007</v>
      </c>
      <c r="AG28" s="1">
        <f t="shared" si="4"/>
        <v>18905.425000000007</v>
      </c>
      <c r="AH28" s="1">
        <f t="shared" si="4"/>
        <v>18905.425000000007</v>
      </c>
      <c r="AI28" s="1" t="e">
        <f>SUMIF(#REF!,"completed",Table42610[[#This Row],[Act Jan-25]:[Act Dec-25]])</f>
        <v>#REF!</v>
      </c>
      <c r="AJ28" s="1">
        <f>Table42610[[#This Row],[CF05 C-Hub PF]]</f>
        <v>226865.10000000006</v>
      </c>
      <c r="AK28" s="1">
        <f>SUM(Table42610[[#This Row],[Act Jan-25]:[Act Dec-25]])</f>
        <v>229309.12600000011</v>
      </c>
      <c r="AL28" s="1">
        <f>Table42610[[#This Row],[EAC (based on YTD actuals)]]-Table42610[[#This Row],[BAC (CF05 Plan)]]</f>
        <v>2444.0260000000417</v>
      </c>
      <c r="AM28" s="1"/>
    </row>
    <row r="29" spans="1:39" ht="15" customHeight="1">
      <c r="A29" t="s">
        <v>96</v>
      </c>
      <c r="C29" t="s">
        <v>45</v>
      </c>
      <c r="D29" t="s">
        <v>138</v>
      </c>
      <c r="E29" t="s">
        <v>139</v>
      </c>
      <c r="F29" t="s">
        <v>47</v>
      </c>
      <c r="G29" t="s">
        <v>130</v>
      </c>
      <c r="H29" s="10" t="s">
        <v>54</v>
      </c>
      <c r="I29" t="s">
        <v>140</v>
      </c>
      <c r="J29" s="12" t="s">
        <v>78</v>
      </c>
      <c r="K29" s="12"/>
      <c r="N29" s="1"/>
      <c r="O29" s="1"/>
      <c r="P29" s="75">
        <v>355125</v>
      </c>
      <c r="Q29" s="1">
        <v>0</v>
      </c>
      <c r="R29" s="75">
        <f>Table42610[[#This Row],[C-Hub PF]]</f>
        <v>355125</v>
      </c>
      <c r="T29" s="86">
        <v>578153.67200000002</v>
      </c>
      <c r="U29" s="76"/>
      <c r="V29" s="1" t="s">
        <v>133</v>
      </c>
      <c r="W29" s="1"/>
      <c r="X29" s="1"/>
      <c r="Y29" s="1">
        <v>183000</v>
      </c>
      <c r="Z29" s="1">
        <f t="shared" si="4"/>
        <v>48179.472666666668</v>
      </c>
      <c r="AA29" s="1">
        <f t="shared" si="4"/>
        <v>48179.472666666668</v>
      </c>
      <c r="AB29" s="1">
        <f t="shared" si="4"/>
        <v>48179.472666666668</v>
      </c>
      <c r="AC29" s="1">
        <f t="shared" si="4"/>
        <v>48179.472666666668</v>
      </c>
      <c r="AD29" s="1">
        <f t="shared" si="4"/>
        <v>48179.472666666668</v>
      </c>
      <c r="AE29" s="1">
        <f t="shared" si="4"/>
        <v>48179.472666666668</v>
      </c>
      <c r="AF29" s="1">
        <f t="shared" si="4"/>
        <v>48179.472666666668</v>
      </c>
      <c r="AG29" s="1">
        <f t="shared" si="4"/>
        <v>48179.472666666668</v>
      </c>
      <c r="AH29" s="1">
        <f>$AJ29/12-38462</f>
        <v>9717.4726666666684</v>
      </c>
      <c r="AI29" s="1" t="e">
        <f>SUMIF(#REF!,"completed",Table42610[[#This Row],[Act Jan-25]:[Act Dec-25]])</f>
        <v>#REF!</v>
      </c>
      <c r="AJ29" s="1">
        <f>Table42610[[#This Row],[CF05 C-Hub PF]]</f>
        <v>578153.67200000002</v>
      </c>
      <c r="AK29" s="1">
        <f>SUM(W29:AH30)</f>
        <v>578153.25399999996</v>
      </c>
      <c r="AL29" s="1">
        <f>Table42610[[#This Row],[EAC (based on YTD actuals)]]-Table42610[[#This Row],[BAC (CF05 Plan)]]</f>
        <v>-0.41800000006332994</v>
      </c>
      <c r="AM29" s="1"/>
    </row>
    <row r="30" spans="1:39" ht="15" hidden="1" customHeight="1" outlineLevel="1">
      <c r="A30" s="63" t="s">
        <v>96</v>
      </c>
      <c r="B30" s="63"/>
      <c r="C30" s="63" t="s">
        <v>45</v>
      </c>
      <c r="D30" s="63"/>
      <c r="E30" s="63" t="s">
        <v>139</v>
      </c>
      <c r="F30" s="63" t="s">
        <v>47</v>
      </c>
      <c r="G30" s="63" t="s">
        <v>130</v>
      </c>
      <c r="H30" s="64" t="s">
        <v>62</v>
      </c>
      <c r="I30" s="63"/>
      <c r="J30" s="65"/>
      <c r="K30" s="66"/>
      <c r="L30" s="63"/>
      <c r="M30" s="63"/>
      <c r="N30" s="67"/>
      <c r="O30" s="67"/>
      <c r="P30" s="77"/>
      <c r="Q30" s="67"/>
      <c r="R30" s="77"/>
      <c r="S30" s="67"/>
      <c r="T30" s="77"/>
      <c r="U30" s="78"/>
      <c r="V30" s="68" t="s">
        <v>63</v>
      </c>
      <c r="W30" s="67"/>
      <c r="X30" s="67"/>
      <c r="Y30" s="67">
        <f t="shared" si="4"/>
        <v>0</v>
      </c>
      <c r="Z30" s="67">
        <f t="shared" si="4"/>
        <v>0</v>
      </c>
      <c r="AA30" s="67">
        <f t="shared" si="4"/>
        <v>0</v>
      </c>
      <c r="AB30" s="67">
        <f t="shared" si="4"/>
        <v>0</v>
      </c>
      <c r="AC30" s="67">
        <f t="shared" si="4"/>
        <v>0</v>
      </c>
      <c r="AD30" s="67">
        <f t="shared" si="4"/>
        <v>0</v>
      </c>
      <c r="AE30" s="67">
        <f t="shared" si="4"/>
        <v>0</v>
      </c>
      <c r="AF30" s="67">
        <f t="shared" si="4"/>
        <v>0</v>
      </c>
      <c r="AG30" s="67">
        <f t="shared" si="4"/>
        <v>0</v>
      </c>
      <c r="AH30" s="67">
        <f t="shared" si="4"/>
        <v>0</v>
      </c>
      <c r="AI30" s="67" t="e">
        <f>SUMIF(#REF!,"completed",Table42610[[#This Row],[Act Jan-25]:[Act Dec-25]])</f>
        <v>#REF!</v>
      </c>
      <c r="AJ30" s="67">
        <f>Table42610[[#This Row],[CF05 C-Hub PF]]</f>
        <v>0</v>
      </c>
      <c r="AK30" s="67"/>
      <c r="AL30" s="67"/>
      <c r="AM30" s="1"/>
    </row>
    <row r="31" spans="1:39" ht="15" customHeight="1" collapsed="1">
      <c r="A31" t="s">
        <v>141</v>
      </c>
      <c r="B31" t="s">
        <v>142</v>
      </c>
      <c r="C31" t="s">
        <v>143</v>
      </c>
      <c r="E31" t="s">
        <v>144</v>
      </c>
      <c r="F31" t="s">
        <v>145</v>
      </c>
      <c r="G31" t="s">
        <v>146</v>
      </c>
      <c r="H31" s="10" t="s">
        <v>54</v>
      </c>
      <c r="I31" t="s">
        <v>147</v>
      </c>
      <c r="J31" s="12"/>
      <c r="K31" s="12"/>
      <c r="N31" s="1"/>
      <c r="O31" s="1"/>
      <c r="P31" s="79">
        <v>940241.92000000004</v>
      </c>
      <c r="Q31" s="1">
        <v>0</v>
      </c>
      <c r="R31" s="75">
        <v>1052369.315548874</v>
      </c>
      <c r="T31" s="86">
        <v>1095000</v>
      </c>
      <c r="U31" s="76"/>
      <c r="V31" s="1" t="s">
        <v>148</v>
      </c>
      <c r="W31" s="1">
        <v>51609.372325424003</v>
      </c>
      <c r="X31" s="1">
        <v>52372.822052426003</v>
      </c>
      <c r="Y31" s="1">
        <v>50179.835419690018</v>
      </c>
      <c r="Z31" s="1">
        <f t="shared" si="4"/>
        <v>91250</v>
      </c>
      <c r="AA31" s="1">
        <f t="shared" si="4"/>
        <v>91250</v>
      </c>
      <c r="AB31" s="1">
        <f t="shared" si="4"/>
        <v>91250</v>
      </c>
      <c r="AC31" s="1">
        <f t="shared" si="4"/>
        <v>91250</v>
      </c>
      <c r="AD31" s="1">
        <f t="shared" si="4"/>
        <v>91250</v>
      </c>
      <c r="AE31" s="1">
        <f t="shared" si="4"/>
        <v>91250</v>
      </c>
      <c r="AF31" s="1">
        <f t="shared" si="4"/>
        <v>91250</v>
      </c>
      <c r="AG31" s="1">
        <f t="shared" si="4"/>
        <v>91250</v>
      </c>
      <c r="AH31" s="1">
        <f t="shared" si="4"/>
        <v>91250</v>
      </c>
      <c r="AI31" s="1" t="e">
        <f>SUMIF(#REF!,"completed",Table42610[[#This Row],[Act Jan-25]:[Act Dec-25]])</f>
        <v>#REF!</v>
      </c>
      <c r="AJ31" s="1">
        <f>Table42610[[#This Row],[CF05 C-Hub PF]]</f>
        <v>1095000</v>
      </c>
      <c r="AK31" s="1">
        <f>SUM(Table42610[[#This Row],[Act Jan-25]:[Act Dec-25]])</f>
        <v>975412.02979754005</v>
      </c>
      <c r="AL31" s="1">
        <f>Table42610[[#This Row],[EAC (based on YTD actuals)]]-Table42610[[#This Row],[BAC (CF05 Plan)]]</f>
        <v>-119587.97020245995</v>
      </c>
      <c r="AM31" s="1"/>
    </row>
    <row r="32" spans="1:39" ht="15" customHeight="1">
      <c r="A32" t="s">
        <v>141</v>
      </c>
      <c r="B32" t="s">
        <v>142</v>
      </c>
      <c r="C32" t="s">
        <v>49</v>
      </c>
      <c r="E32" t="s">
        <v>149</v>
      </c>
      <c r="F32" t="s">
        <v>145</v>
      </c>
      <c r="G32" t="s">
        <v>146</v>
      </c>
      <c r="H32" s="10" t="s">
        <v>54</v>
      </c>
      <c r="I32" t="s">
        <v>147</v>
      </c>
      <c r="J32" s="12"/>
      <c r="K32" s="12"/>
      <c r="N32" s="1"/>
      <c r="O32" s="1"/>
      <c r="P32" s="79">
        <v>711127</v>
      </c>
      <c r="Q32" s="1">
        <v>0</v>
      </c>
      <c r="R32" s="75">
        <v>597620.65419999999</v>
      </c>
      <c r="T32" s="86">
        <v>611000</v>
      </c>
      <c r="U32" s="76"/>
      <c r="V32" s="1" t="s">
        <v>150</v>
      </c>
      <c r="W32" s="1">
        <v>35381.831299999998</v>
      </c>
      <c r="X32" s="1">
        <v>39735.226999999992</v>
      </c>
      <c r="Y32" s="1">
        <v>36237.212500000001</v>
      </c>
      <c r="Z32" s="1">
        <f t="shared" si="4"/>
        <v>50916.666666666664</v>
      </c>
      <c r="AA32" s="1">
        <f t="shared" si="4"/>
        <v>50916.666666666664</v>
      </c>
      <c r="AB32" s="1">
        <f t="shared" si="4"/>
        <v>50916.666666666664</v>
      </c>
      <c r="AC32" s="1">
        <f t="shared" si="4"/>
        <v>50916.666666666664</v>
      </c>
      <c r="AD32" s="1">
        <f t="shared" si="4"/>
        <v>50916.666666666664</v>
      </c>
      <c r="AE32" s="1">
        <f t="shared" si="4"/>
        <v>50916.666666666664</v>
      </c>
      <c r="AF32" s="1">
        <f t="shared" si="4"/>
        <v>50916.666666666664</v>
      </c>
      <c r="AG32" s="1">
        <f t="shared" si="4"/>
        <v>50916.666666666664</v>
      </c>
      <c r="AH32" s="1">
        <f t="shared" si="4"/>
        <v>50916.666666666664</v>
      </c>
      <c r="AI32" s="1" t="e">
        <f>SUMIF(#REF!,"completed",Table42610[[#This Row],[Act Jan-25]:[Act Dec-25]])</f>
        <v>#REF!</v>
      </c>
      <c r="AJ32" s="1">
        <f>Table42610[[#This Row],[CF05 C-Hub PF]]</f>
        <v>611000</v>
      </c>
      <c r="AK32" s="1">
        <f>SUM(Table42610[[#This Row],[Act Jan-25]:[Act Dec-25]])</f>
        <v>569604.27080000006</v>
      </c>
      <c r="AL32" s="1">
        <f>Table42610[[#This Row],[EAC (based on YTD actuals)]]-Table42610[[#This Row],[BAC (CF05 Plan)]]</f>
        <v>-41395.729199999943</v>
      </c>
      <c r="AM32" s="1"/>
    </row>
    <row r="33" spans="1:39" ht="15" customHeight="1" thickBot="1">
      <c r="A33" t="s">
        <v>141</v>
      </c>
      <c r="B33" t="s">
        <v>142</v>
      </c>
      <c r="C33" t="s">
        <v>143</v>
      </c>
      <c r="E33" t="s">
        <v>151</v>
      </c>
      <c r="F33" t="s">
        <v>145</v>
      </c>
      <c r="G33" t="s">
        <v>146</v>
      </c>
      <c r="H33" s="10" t="s">
        <v>54</v>
      </c>
      <c r="I33" t="s">
        <v>147</v>
      </c>
      <c r="J33" s="12"/>
      <c r="K33" s="12"/>
      <c r="N33" s="1"/>
      <c r="O33" s="1"/>
      <c r="P33" s="75">
        <v>0</v>
      </c>
      <c r="Q33" s="34">
        <v>286993.91999999998</v>
      </c>
      <c r="R33" s="75">
        <f>Table42610[[#This Row],[C-Hub PF]]</f>
        <v>0</v>
      </c>
      <c r="S33" s="91">
        <v>286993.99999999983</v>
      </c>
      <c r="T33" s="93">
        <v>0</v>
      </c>
      <c r="U33" s="92">
        <v>343003.95025112602</v>
      </c>
      <c r="V33" s="1" t="s">
        <v>152</v>
      </c>
      <c r="W33" s="1"/>
      <c r="X33" s="1"/>
      <c r="Y33" s="1">
        <f t="shared" si="4"/>
        <v>0</v>
      </c>
      <c r="Z33" s="1">
        <f t="shared" si="4"/>
        <v>0</v>
      </c>
      <c r="AA33" s="1">
        <f t="shared" si="4"/>
        <v>0</v>
      </c>
      <c r="AB33" s="1">
        <f t="shared" si="4"/>
        <v>0</v>
      </c>
      <c r="AC33" s="1">
        <f t="shared" si="4"/>
        <v>0</v>
      </c>
      <c r="AD33" s="1">
        <f t="shared" si="4"/>
        <v>0</v>
      </c>
      <c r="AE33" s="1">
        <f t="shared" si="4"/>
        <v>0</v>
      </c>
      <c r="AF33" s="1">
        <f t="shared" si="4"/>
        <v>0</v>
      </c>
      <c r="AG33" s="1">
        <f t="shared" si="4"/>
        <v>0</v>
      </c>
      <c r="AH33" s="1">
        <f t="shared" si="4"/>
        <v>0</v>
      </c>
      <c r="AI33" s="1" t="e">
        <f>SUMIF(#REF!,"completed",Table42610[[#This Row],[Act Jan-25]:[Act Dec-25]])</f>
        <v>#REF!</v>
      </c>
      <c r="AJ33" s="1">
        <f>Table42610[[#This Row],[CF05 C-Hub PF]]</f>
        <v>0</v>
      </c>
      <c r="AK33" s="1">
        <f>SUM(Table42610[[#This Row],[Act Jan-25]:[Act Dec-25]])</f>
        <v>0</v>
      </c>
      <c r="AL33" s="1">
        <f>Table42610[[#This Row],[EAC (based on YTD actuals)]]-Table42610[[#This Row],[BAC (CF05 Plan)]]</f>
        <v>0</v>
      </c>
      <c r="AM33" s="1"/>
    </row>
    <row r="34" spans="1:39" ht="15" customHeight="1">
      <c r="A34" t="s">
        <v>141</v>
      </c>
      <c r="B34" t="s">
        <v>142</v>
      </c>
      <c r="C34" t="s">
        <v>49</v>
      </c>
      <c r="E34" t="s">
        <v>151</v>
      </c>
      <c r="F34" t="s">
        <v>145</v>
      </c>
      <c r="G34" t="s">
        <v>146</v>
      </c>
      <c r="H34" s="10" t="s">
        <v>54</v>
      </c>
      <c r="I34" t="s">
        <v>147</v>
      </c>
      <c r="J34" s="12"/>
      <c r="K34" s="12"/>
      <c r="N34" s="1"/>
      <c r="O34" s="1"/>
      <c r="P34" s="75">
        <v>0</v>
      </c>
      <c r="Q34" s="1">
        <v>0</v>
      </c>
      <c r="R34" s="75">
        <f>Table42610[[#This Row],[C-Hub PF]]</f>
        <v>0</v>
      </c>
      <c r="T34" s="75">
        <v>0</v>
      </c>
      <c r="U34" s="76"/>
      <c r="V34" s="1"/>
      <c r="W34" s="1"/>
      <c r="X34" s="1"/>
      <c r="Y34" s="1">
        <f t="shared" si="4"/>
        <v>0</v>
      </c>
      <c r="Z34" s="1">
        <f t="shared" si="4"/>
        <v>0</v>
      </c>
      <c r="AA34" s="1">
        <f t="shared" si="4"/>
        <v>0</v>
      </c>
      <c r="AB34" s="1">
        <f t="shared" si="4"/>
        <v>0</v>
      </c>
      <c r="AC34" s="1">
        <f t="shared" si="4"/>
        <v>0</v>
      </c>
      <c r="AD34" s="1">
        <f t="shared" si="4"/>
        <v>0</v>
      </c>
      <c r="AE34" s="1">
        <f t="shared" si="4"/>
        <v>0</v>
      </c>
      <c r="AF34" s="1">
        <f t="shared" si="4"/>
        <v>0</v>
      </c>
      <c r="AG34" s="1">
        <f t="shared" si="4"/>
        <v>0</v>
      </c>
      <c r="AH34" s="1">
        <f t="shared" si="4"/>
        <v>0</v>
      </c>
      <c r="AI34" s="1" t="e">
        <f>SUMIF(#REF!,"completed",Table42610[[#This Row],[Act Jan-25]:[Act Dec-25]])</f>
        <v>#REF!</v>
      </c>
      <c r="AJ34" s="1">
        <f>Table42610[[#This Row],[CF05 C-Hub PF]]</f>
        <v>0</v>
      </c>
      <c r="AK34" s="1">
        <f>SUM(Table42610[[#This Row],[Act Jan-25]:[Act Dec-25]])</f>
        <v>0</v>
      </c>
      <c r="AL34" s="1">
        <f>Table42610[[#This Row],[EAC (based on YTD actuals)]]-Table42610[[#This Row],[BAC (CF05 Plan)]]</f>
        <v>0</v>
      </c>
      <c r="AM34" s="1"/>
    </row>
    <row r="35" spans="1:39" ht="15" customHeight="1">
      <c r="A35" t="s">
        <v>56</v>
      </c>
      <c r="C35" t="s">
        <v>45</v>
      </c>
      <c r="D35" t="s">
        <v>153</v>
      </c>
      <c r="E35" t="s">
        <v>154</v>
      </c>
      <c r="F35" t="s">
        <v>47</v>
      </c>
      <c r="G35" t="s">
        <v>155</v>
      </c>
      <c r="H35" s="10" t="s">
        <v>54</v>
      </c>
      <c r="I35" t="s">
        <v>43</v>
      </c>
      <c r="J35" s="12">
        <v>1</v>
      </c>
      <c r="K35" s="12"/>
      <c r="N35" s="1"/>
      <c r="O35" s="1"/>
      <c r="P35" s="75">
        <v>98689.339383297905</v>
      </c>
      <c r="Q35" s="1"/>
      <c r="R35" s="75">
        <f>Table42610[[#This Row],[C-Hub PF]]</f>
        <v>98689.339383297905</v>
      </c>
      <c r="T35" s="75">
        <v>98689.339383297905</v>
      </c>
      <c r="U35" s="76"/>
      <c r="V35" s="1"/>
      <c r="W35" s="1"/>
      <c r="X35" s="1"/>
      <c r="Y35" s="1"/>
      <c r="Z35" s="1">
        <f t="shared" si="4"/>
        <v>8224.1116152748255</v>
      </c>
      <c r="AA35" s="1">
        <f t="shared" si="4"/>
        <v>8224.1116152748255</v>
      </c>
      <c r="AB35" s="1">
        <f t="shared" si="4"/>
        <v>8224.1116152748255</v>
      </c>
      <c r="AC35" s="1">
        <f t="shared" si="4"/>
        <v>8224.1116152748255</v>
      </c>
      <c r="AD35" s="1">
        <f t="shared" si="4"/>
        <v>8224.1116152748255</v>
      </c>
      <c r="AE35" s="1">
        <f t="shared" si="4"/>
        <v>8224.1116152748255</v>
      </c>
      <c r="AF35" s="1">
        <f t="shared" si="4"/>
        <v>8224.1116152748255</v>
      </c>
      <c r="AG35" s="1">
        <f t="shared" si="4"/>
        <v>8224.1116152748255</v>
      </c>
      <c r="AH35" s="1">
        <f t="shared" si="4"/>
        <v>8224.1116152748255</v>
      </c>
      <c r="AI35" s="1" t="e">
        <f>SUMIF(#REF!,"completed",Table42610[[#This Row],[Act Jan-25]:[Act Dec-25]])</f>
        <v>#REF!</v>
      </c>
      <c r="AJ35" s="1">
        <f>Table42610[[#This Row],[CF05 C-Hub PF]]</f>
        <v>98689.339383297905</v>
      </c>
      <c r="AK35" s="1">
        <f>SUM(W35:AH36)</f>
        <v>98689.339383297935</v>
      </c>
      <c r="AL35" s="1">
        <f>Table42610[[#This Row],[EAC (based on YTD actuals)]]-Table42610[[#This Row],[BAC (CF05 Plan)]]</f>
        <v>0</v>
      </c>
      <c r="AM35" s="1"/>
    </row>
    <row r="36" spans="1:39" ht="15" hidden="1" customHeight="1" outlineLevel="1">
      <c r="A36" s="63" t="s">
        <v>56</v>
      </c>
      <c r="B36" s="63"/>
      <c r="C36" s="63" t="s">
        <v>45</v>
      </c>
      <c r="D36" s="63"/>
      <c r="E36" s="63" t="s">
        <v>154</v>
      </c>
      <c r="F36" s="63" t="s">
        <v>47</v>
      </c>
      <c r="G36" s="63"/>
      <c r="H36" s="64" t="s">
        <v>62</v>
      </c>
      <c r="I36" s="63"/>
      <c r="J36" s="65"/>
      <c r="K36" s="66"/>
      <c r="L36" s="63"/>
      <c r="M36" s="63"/>
      <c r="N36" s="67"/>
      <c r="O36" s="67"/>
      <c r="P36" s="77"/>
      <c r="Q36" s="67"/>
      <c r="R36" s="77"/>
      <c r="S36" s="67"/>
      <c r="T36" s="77"/>
      <c r="U36" s="78"/>
      <c r="V36" s="68" t="s">
        <v>63</v>
      </c>
      <c r="W36" s="67">
        <v>8224.1116152748255</v>
      </c>
      <c r="X36" s="67">
        <v>8224.1116152748255</v>
      </c>
      <c r="Y36" s="67">
        <v>8224.1116152748255</v>
      </c>
      <c r="Z36" s="67">
        <f t="shared" si="4"/>
        <v>0</v>
      </c>
      <c r="AA36" s="67">
        <f t="shared" si="4"/>
        <v>0</v>
      </c>
      <c r="AB36" s="67">
        <f t="shared" si="4"/>
        <v>0</v>
      </c>
      <c r="AC36" s="67">
        <f t="shared" si="4"/>
        <v>0</v>
      </c>
      <c r="AD36" s="67">
        <f t="shared" si="4"/>
        <v>0</v>
      </c>
      <c r="AE36" s="67">
        <f t="shared" si="4"/>
        <v>0</v>
      </c>
      <c r="AF36" s="67">
        <f t="shared" si="4"/>
        <v>0</v>
      </c>
      <c r="AG36" s="67">
        <f t="shared" si="4"/>
        <v>0</v>
      </c>
      <c r="AH36" s="67">
        <f t="shared" si="4"/>
        <v>0</v>
      </c>
      <c r="AI36" s="67" t="e">
        <f>SUMIF(#REF!,"completed",Table42610[[#This Row],[Act Jan-25]:[Act Dec-25]])</f>
        <v>#REF!</v>
      </c>
      <c r="AJ36" s="67">
        <f>Table42610[[#This Row],[CF05 C-Hub PF]]</f>
        <v>0</v>
      </c>
      <c r="AK36" s="67"/>
      <c r="AL36" s="67">
        <f>Table42610[[#This Row],[EAC (based on YTD actuals)]]-Table42610[[#This Row],[BAC (CF05 Plan)]]</f>
        <v>0</v>
      </c>
      <c r="AM36" s="1"/>
    </row>
    <row r="37" spans="1:39" ht="15" customHeight="1" collapsed="1">
      <c r="A37" t="s">
        <v>56</v>
      </c>
      <c r="C37" t="s">
        <v>45</v>
      </c>
      <c r="D37" t="s">
        <v>156</v>
      </c>
      <c r="E37" t="s">
        <v>157</v>
      </c>
      <c r="F37" t="s">
        <v>47</v>
      </c>
      <c r="G37" t="s">
        <v>59</v>
      </c>
      <c r="H37" s="10" t="s">
        <v>54</v>
      </c>
      <c r="I37" t="s">
        <v>43</v>
      </c>
      <c r="J37" s="13"/>
      <c r="K37" s="13"/>
      <c r="N37" s="1"/>
      <c r="O37" s="1"/>
      <c r="P37" s="75">
        <v>80000</v>
      </c>
      <c r="Q37" s="1">
        <v>70000</v>
      </c>
      <c r="R37" s="75">
        <v>150000</v>
      </c>
      <c r="S37" s="1">
        <v>113000.0000000001</v>
      </c>
      <c r="T37" s="75">
        <v>150000</v>
      </c>
      <c r="U37" s="76">
        <v>113000.0000000001</v>
      </c>
      <c r="V37" s="69" t="s">
        <v>158</v>
      </c>
      <c r="W37" s="1"/>
      <c r="X37" s="1">
        <v>71813</v>
      </c>
      <c r="Y37" s="1">
        <v>68872</v>
      </c>
      <c r="Z37" s="1"/>
      <c r="AA37" s="1"/>
      <c r="AB37" s="1"/>
      <c r="AC37" s="1"/>
      <c r="AD37" s="1"/>
      <c r="AE37" s="1"/>
      <c r="AF37" s="1"/>
      <c r="AG37" s="1"/>
      <c r="AH37" s="1"/>
      <c r="AI37" s="1" t="e">
        <f>SUMIF(#REF!,"completed",Table42610[[#This Row],[Act Jan-25]:[Act Dec-25]])</f>
        <v>#REF!</v>
      </c>
      <c r="AJ37" s="1">
        <f>Table42610[[#This Row],[CF05 C-Hub PF]]</f>
        <v>150000</v>
      </c>
      <c r="AK37" s="1">
        <f>SUM(W37:AH38)</f>
        <v>277605</v>
      </c>
      <c r="AL37" s="1">
        <f>Table42610[[#This Row],[EAC (based on YTD actuals)]]-Table42610[[#This Row],[BAC (CF05 Plan)]]</f>
        <v>127605</v>
      </c>
      <c r="AM37" s="1" t="s">
        <v>159</v>
      </c>
    </row>
    <row r="38" spans="1:39" ht="15" hidden="1" customHeight="1" outlineLevel="1">
      <c r="A38" s="63" t="s">
        <v>56</v>
      </c>
      <c r="B38" s="63"/>
      <c r="C38" s="63" t="s">
        <v>45</v>
      </c>
      <c r="D38" s="63"/>
      <c r="E38" s="63" t="s">
        <v>157</v>
      </c>
      <c r="F38" s="63" t="s">
        <v>47</v>
      </c>
      <c r="G38" s="63" t="s">
        <v>59</v>
      </c>
      <c r="H38" s="64" t="s">
        <v>62</v>
      </c>
      <c r="I38" s="63"/>
      <c r="J38" s="65"/>
      <c r="K38" s="66"/>
      <c r="L38" s="63"/>
      <c r="M38" s="63"/>
      <c r="N38" s="67"/>
      <c r="O38" s="67"/>
      <c r="P38" s="77"/>
      <c r="Q38" s="67"/>
      <c r="R38" s="77"/>
      <c r="S38" s="67"/>
      <c r="T38" s="77"/>
      <c r="U38" s="78"/>
      <c r="V38" s="68" t="s">
        <v>63</v>
      </c>
      <c r="W38" s="67"/>
      <c r="X38" s="67"/>
      <c r="Y38" s="67">
        <v>9315</v>
      </c>
      <c r="Z38" s="67">
        <f>127605/3</f>
        <v>42535</v>
      </c>
      <c r="AA38" s="67">
        <f>127605/3</f>
        <v>42535</v>
      </c>
      <c r="AB38" s="67">
        <f>127605/3</f>
        <v>42535</v>
      </c>
      <c r="AC38" s="67">
        <f t="shared" ref="Y38:AH47" si="5">$AJ38/12</f>
        <v>0</v>
      </c>
      <c r="AD38" s="67">
        <f t="shared" si="5"/>
        <v>0</v>
      </c>
      <c r="AE38" s="67">
        <f t="shared" si="5"/>
        <v>0</v>
      </c>
      <c r="AF38" s="67">
        <f t="shared" si="5"/>
        <v>0</v>
      </c>
      <c r="AG38" s="67">
        <f t="shared" si="5"/>
        <v>0</v>
      </c>
      <c r="AH38" s="67">
        <f t="shared" si="5"/>
        <v>0</v>
      </c>
      <c r="AI38" s="67" t="e">
        <f>SUMIF(#REF!,"completed",Table42610[[#This Row],[Act Jan-25]:[Act Dec-25]])</f>
        <v>#REF!</v>
      </c>
      <c r="AJ38" s="67">
        <f>Table42610[[#This Row],[CF05 C-Hub PF]]</f>
        <v>0</v>
      </c>
      <c r="AK38" s="67"/>
      <c r="AL38" s="67"/>
      <c r="AM38" s="1"/>
    </row>
    <row r="39" spans="1:39" ht="15" customHeight="1" collapsed="1">
      <c r="A39" t="s">
        <v>56</v>
      </c>
      <c r="C39" t="s">
        <v>45</v>
      </c>
      <c r="D39" t="s">
        <v>160</v>
      </c>
      <c r="E39" t="s">
        <v>161</v>
      </c>
      <c r="F39" t="s">
        <v>47</v>
      </c>
      <c r="G39" t="s">
        <v>108</v>
      </c>
      <c r="H39" s="10" t="s">
        <v>54</v>
      </c>
      <c r="I39" t="s">
        <v>43</v>
      </c>
      <c r="J39" s="12" t="s">
        <v>78</v>
      </c>
      <c r="K39" s="12"/>
      <c r="N39" s="1"/>
      <c r="O39" s="1"/>
      <c r="P39" s="75">
        <v>90000</v>
      </c>
      <c r="Q39" s="1">
        <v>270000</v>
      </c>
      <c r="R39" s="75">
        <v>60000</v>
      </c>
      <c r="S39" s="1">
        <v>300000.00000000017</v>
      </c>
      <c r="T39" s="75">
        <v>60000</v>
      </c>
      <c r="U39" s="76">
        <v>300000.00000000017</v>
      </c>
      <c r="V39" s="1"/>
      <c r="W39" s="1"/>
      <c r="X39" s="1"/>
      <c r="Y39" s="1">
        <f t="shared" si="5"/>
        <v>5000</v>
      </c>
      <c r="Z39" s="1">
        <f t="shared" si="5"/>
        <v>5000</v>
      </c>
      <c r="AA39" s="1">
        <f t="shared" si="5"/>
        <v>5000</v>
      </c>
      <c r="AB39" s="1">
        <f t="shared" si="5"/>
        <v>5000</v>
      </c>
      <c r="AC39" s="1">
        <f t="shared" si="5"/>
        <v>5000</v>
      </c>
      <c r="AD39" s="1">
        <f t="shared" si="5"/>
        <v>5000</v>
      </c>
      <c r="AE39" s="1">
        <f t="shared" si="5"/>
        <v>5000</v>
      </c>
      <c r="AF39" s="1">
        <f t="shared" si="5"/>
        <v>5000</v>
      </c>
      <c r="AG39" s="1">
        <f t="shared" si="5"/>
        <v>5000</v>
      </c>
      <c r="AH39" s="1">
        <f t="shared" si="5"/>
        <v>5000</v>
      </c>
      <c r="AI39" s="1" t="e">
        <f>SUMIF(#REF!,"completed",Table42610[[#This Row],[Act Jan-25]:[Act Dec-25]])</f>
        <v>#REF!</v>
      </c>
      <c r="AJ39" s="1">
        <f>Table42610[[#This Row],[CF05 C-Hub PF]]</f>
        <v>60000</v>
      </c>
      <c r="AK39" s="1">
        <f>SUM(Table42610[[#This Row],[Act Jan-25]:[Act Dec-25]])</f>
        <v>50000</v>
      </c>
      <c r="AL39" s="1">
        <f>Table42610[[#This Row],[EAC (based on YTD actuals)]]-Table42610[[#This Row],[BAC (CF05 Plan)]]</f>
        <v>-10000</v>
      </c>
      <c r="AM39" s="1"/>
    </row>
    <row r="40" spans="1:39" ht="15" customHeight="1">
      <c r="A40" t="s">
        <v>56</v>
      </c>
      <c r="B40" t="s">
        <v>162</v>
      </c>
      <c r="C40" t="s">
        <v>45</v>
      </c>
      <c r="D40" t="s">
        <v>163</v>
      </c>
      <c r="E40" t="s">
        <v>164</v>
      </c>
      <c r="F40" t="s">
        <v>47</v>
      </c>
      <c r="G40" t="s">
        <v>89</v>
      </c>
      <c r="H40" s="10" t="s">
        <v>54</v>
      </c>
      <c r="I40" t="s">
        <v>165</v>
      </c>
      <c r="J40" s="15"/>
      <c r="K40" s="15" t="s">
        <v>166</v>
      </c>
      <c r="N40" s="1"/>
      <c r="O40" s="1"/>
      <c r="P40" s="75">
        <v>180000</v>
      </c>
      <c r="Q40" s="1">
        <v>0</v>
      </c>
      <c r="R40" s="75">
        <f>Table42610[[#This Row],[C-Hub PF]]</f>
        <v>180000</v>
      </c>
      <c r="T40" s="75">
        <v>180000</v>
      </c>
      <c r="U40" s="76"/>
      <c r="V40" s="1" t="s">
        <v>167</v>
      </c>
      <c r="W40" s="1"/>
      <c r="X40" s="1"/>
      <c r="Y40" s="1">
        <v>130750</v>
      </c>
      <c r="Z40" s="1">
        <v>22361.111111111109</v>
      </c>
      <c r="AA40" s="1">
        <v>22361.111111111109</v>
      </c>
      <c r="AB40" s="1">
        <v>22361.111111111109</v>
      </c>
      <c r="AC40" s="1">
        <v>22361.111111111109</v>
      </c>
      <c r="AD40" s="1">
        <v>22361.111111111109</v>
      </c>
      <c r="AE40" s="1">
        <v>22361.111111111109</v>
      </c>
      <c r="AF40" s="1">
        <v>22361.111111111109</v>
      </c>
      <c r="AG40" s="1">
        <v>22361.111111111109</v>
      </c>
      <c r="AH40" s="1">
        <v>22361.111111111109</v>
      </c>
      <c r="AI40" s="1" t="e">
        <f>SUMIF(#REF!,"completed",Table42610[[#This Row],[Act Jan-25]:[Act Dec-25]])</f>
        <v>#REF!</v>
      </c>
      <c r="AJ40" s="1">
        <f>Table42610[[#This Row],[CF05 C-Hub PF]]</f>
        <v>180000</v>
      </c>
      <c r="AK40" s="1">
        <f>SUM(W40:AH41)</f>
        <v>332000.00000000012</v>
      </c>
      <c r="AL40" s="1">
        <f>Table42610[[#This Row],[EAC (based on YTD actuals)]]-Table42610[[#This Row],[BAC (CF05 Plan)]]</f>
        <v>152000.00000000012</v>
      </c>
      <c r="AM40" s="1"/>
    </row>
    <row r="41" spans="1:39" ht="15" hidden="1" customHeight="1" outlineLevel="1">
      <c r="A41" s="63" t="s">
        <v>56</v>
      </c>
      <c r="B41" s="63" t="s">
        <v>162</v>
      </c>
      <c r="C41" s="63" t="s">
        <v>45</v>
      </c>
      <c r="D41" s="63"/>
      <c r="E41" s="63" t="s">
        <v>164</v>
      </c>
      <c r="F41" s="63" t="s">
        <v>47</v>
      </c>
      <c r="G41" s="63" t="s">
        <v>89</v>
      </c>
      <c r="H41" s="64" t="s">
        <v>62</v>
      </c>
      <c r="I41" s="63"/>
      <c r="J41" s="65"/>
      <c r="K41" s="66"/>
      <c r="L41" s="63"/>
      <c r="M41" s="63"/>
      <c r="N41" s="67"/>
      <c r="O41" s="67"/>
      <c r="P41" s="77"/>
      <c r="Q41" s="67"/>
      <c r="R41" s="77"/>
      <c r="S41" s="67"/>
      <c r="T41" s="77"/>
      <c r="U41" s="78"/>
      <c r="V41" s="68" t="s">
        <v>63</v>
      </c>
      <c r="W41" s="67"/>
      <c r="X41" s="67"/>
      <c r="Y41" s="67">
        <f t="shared" si="5"/>
        <v>0</v>
      </c>
      <c r="Z41" s="67">
        <f t="shared" si="5"/>
        <v>0</v>
      </c>
      <c r="AA41" s="67">
        <f t="shared" si="5"/>
        <v>0</v>
      </c>
      <c r="AB41" s="67">
        <f t="shared" si="5"/>
        <v>0</v>
      </c>
      <c r="AC41" s="67">
        <f t="shared" si="5"/>
        <v>0</v>
      </c>
      <c r="AD41" s="67">
        <f t="shared" si="5"/>
        <v>0</v>
      </c>
      <c r="AE41" s="67">
        <f t="shared" si="5"/>
        <v>0</v>
      </c>
      <c r="AF41" s="67">
        <f t="shared" si="5"/>
        <v>0</v>
      </c>
      <c r="AG41" s="67">
        <f t="shared" si="5"/>
        <v>0</v>
      </c>
      <c r="AH41" s="67">
        <f t="shared" si="5"/>
        <v>0</v>
      </c>
      <c r="AI41" s="67" t="e">
        <f>SUMIF(#REF!,"completed",Table42610[[#This Row],[Act Jan-25]:[Act Dec-25]])</f>
        <v>#REF!</v>
      </c>
      <c r="AJ41" s="67">
        <f>Table42610[[#This Row],[CF05 C-Hub PF]]</f>
        <v>0</v>
      </c>
      <c r="AK41" s="67"/>
      <c r="AL41" s="67"/>
      <c r="AM41" s="1"/>
    </row>
    <row r="42" spans="1:39" ht="15" customHeight="1" collapsed="1">
      <c r="A42" t="s">
        <v>56</v>
      </c>
      <c r="C42" t="s">
        <v>45</v>
      </c>
      <c r="D42" t="s">
        <v>168</v>
      </c>
      <c r="E42" t="s">
        <v>169</v>
      </c>
      <c r="F42" t="s">
        <v>47</v>
      </c>
      <c r="G42" t="s">
        <v>89</v>
      </c>
      <c r="H42" s="10" t="s">
        <v>54</v>
      </c>
      <c r="I42" t="s">
        <v>43</v>
      </c>
      <c r="J42" s="13"/>
      <c r="K42" s="13"/>
      <c r="N42" s="1"/>
      <c r="O42" s="1"/>
      <c r="P42" s="75">
        <v>682500</v>
      </c>
      <c r="Q42" s="1">
        <v>292500</v>
      </c>
      <c r="R42" s="75">
        <f>Table42610[[#This Row],[C-Hub PF]]</f>
        <v>682500</v>
      </c>
      <c r="S42" s="1">
        <v>292500</v>
      </c>
      <c r="T42" s="75">
        <v>682500</v>
      </c>
      <c r="U42" s="76">
        <v>292500</v>
      </c>
      <c r="V42" s="1" t="s">
        <v>170</v>
      </c>
      <c r="W42" s="1"/>
      <c r="X42" s="1"/>
      <c r="Y42" s="1">
        <v>155105</v>
      </c>
      <c r="Z42" s="1">
        <v>74321.666666666672</v>
      </c>
      <c r="AA42" s="1">
        <v>74321.666666666672</v>
      </c>
      <c r="AB42" s="1">
        <v>74321.666666666672</v>
      </c>
      <c r="AC42" s="1">
        <v>74321.666666666672</v>
      </c>
      <c r="AD42" s="1">
        <v>74321.666666666672</v>
      </c>
      <c r="AE42" s="1">
        <v>74321.666666666672</v>
      </c>
      <c r="AF42" s="1">
        <v>74321.666666666672</v>
      </c>
      <c r="AG42" s="1">
        <v>74321.666666666672</v>
      </c>
      <c r="AH42" s="1">
        <v>74321.666666666672</v>
      </c>
      <c r="AI42" s="1" t="e">
        <f>SUMIF(#REF!,"completed",Table42610[[#This Row],[Act Jan-25]:[Act Dec-25]])</f>
        <v>#REF!</v>
      </c>
      <c r="AJ42" s="1">
        <f>Table42610[[#This Row],[CF05 C-Hub PF]]</f>
        <v>682500</v>
      </c>
      <c r="AK42" s="1">
        <f>SUM(W42:AH43)</f>
        <v>823999.99999999988</v>
      </c>
      <c r="AL42" s="1">
        <f>Table42610[[#This Row],[EAC (based on YTD actuals)]]-Table42610[[#This Row],[BAC (CF05 Plan)]]</f>
        <v>141499.99999999988</v>
      </c>
      <c r="AM42" s="1"/>
    </row>
    <row r="43" spans="1:39" ht="15" hidden="1" customHeight="1" outlineLevel="1">
      <c r="A43" s="63" t="s">
        <v>56</v>
      </c>
      <c r="B43" s="63"/>
      <c r="C43" s="63" t="s">
        <v>45</v>
      </c>
      <c r="D43" s="63"/>
      <c r="E43" s="63" t="s">
        <v>169</v>
      </c>
      <c r="F43" s="63" t="s">
        <v>47</v>
      </c>
      <c r="G43" s="63" t="s">
        <v>89</v>
      </c>
      <c r="H43" s="64" t="s">
        <v>62</v>
      </c>
      <c r="I43" s="63"/>
      <c r="J43" s="65"/>
      <c r="K43" s="66"/>
      <c r="L43" s="63"/>
      <c r="M43" s="63"/>
      <c r="N43" s="67"/>
      <c r="O43" s="67"/>
      <c r="P43" s="77"/>
      <c r="Q43" s="67"/>
      <c r="R43" s="77"/>
      <c r="S43" s="67"/>
      <c r="T43" s="77"/>
      <c r="U43" s="78"/>
      <c r="V43" s="68" t="s">
        <v>63</v>
      </c>
      <c r="W43" s="67"/>
      <c r="X43" s="67"/>
      <c r="Y43" s="67"/>
      <c r="Z43" s="67">
        <f t="shared" si="5"/>
        <v>0</v>
      </c>
      <c r="AA43" s="67">
        <f t="shared" si="5"/>
        <v>0</v>
      </c>
      <c r="AB43" s="67">
        <f t="shared" si="5"/>
        <v>0</v>
      </c>
      <c r="AC43" s="67">
        <f t="shared" si="5"/>
        <v>0</v>
      </c>
      <c r="AD43" s="67">
        <f t="shared" si="5"/>
        <v>0</v>
      </c>
      <c r="AE43" s="67">
        <f t="shared" si="5"/>
        <v>0</v>
      </c>
      <c r="AF43" s="67">
        <f t="shared" si="5"/>
        <v>0</v>
      </c>
      <c r="AG43" s="67">
        <f t="shared" si="5"/>
        <v>0</v>
      </c>
      <c r="AH43" s="67">
        <f t="shared" si="5"/>
        <v>0</v>
      </c>
      <c r="AI43" s="67" t="e">
        <f>SUMIF(#REF!,"completed",Table42610[[#This Row],[Act Jan-25]:[Act Dec-25]])</f>
        <v>#REF!</v>
      </c>
      <c r="AJ43" s="67">
        <f>Table42610[[#This Row],[CF05 C-Hub PF]]</f>
        <v>0</v>
      </c>
      <c r="AK43" s="67"/>
      <c r="AL43" s="67"/>
      <c r="AM43" s="1"/>
    </row>
    <row r="44" spans="1:39" ht="15" customHeight="1" collapsed="1">
      <c r="A44" t="s">
        <v>141</v>
      </c>
      <c r="B44" t="s">
        <v>142</v>
      </c>
      <c r="C44" t="s">
        <v>143</v>
      </c>
      <c r="E44" t="s">
        <v>171</v>
      </c>
      <c r="G44" t="s">
        <v>146</v>
      </c>
      <c r="J44" s="15"/>
      <c r="K44" s="15"/>
      <c r="N44" s="1"/>
      <c r="O44" s="1"/>
      <c r="P44" s="75">
        <v>0</v>
      </c>
      <c r="Q44" s="1">
        <v>0</v>
      </c>
      <c r="R44" s="75">
        <f>Table42610[[#This Row],[C-Hub PF]]</f>
        <v>0</v>
      </c>
      <c r="T44" s="75">
        <v>0</v>
      </c>
      <c r="U44" s="76"/>
      <c r="V44" s="1"/>
      <c r="W44" s="1"/>
      <c r="X44" s="1"/>
      <c r="Y44" s="1">
        <f t="shared" si="5"/>
        <v>0</v>
      </c>
      <c r="Z44" s="1">
        <f t="shared" si="5"/>
        <v>0</v>
      </c>
      <c r="AA44" s="1">
        <f t="shared" si="5"/>
        <v>0</v>
      </c>
      <c r="AB44" s="1">
        <f t="shared" si="5"/>
        <v>0</v>
      </c>
      <c r="AC44" s="1">
        <f t="shared" si="5"/>
        <v>0</v>
      </c>
      <c r="AD44" s="1">
        <f t="shared" si="5"/>
        <v>0</v>
      </c>
      <c r="AE44" s="1">
        <f t="shared" si="5"/>
        <v>0</v>
      </c>
      <c r="AF44" s="1">
        <f t="shared" si="5"/>
        <v>0</v>
      </c>
      <c r="AG44" s="1">
        <f t="shared" si="5"/>
        <v>0</v>
      </c>
      <c r="AH44" s="1">
        <f t="shared" si="5"/>
        <v>0</v>
      </c>
      <c r="AI44" s="1" t="e">
        <f>SUMIF(#REF!,"completed",Table42610[[#This Row],[Act Jan-25]:[Act Dec-25]])</f>
        <v>#REF!</v>
      </c>
      <c r="AJ44" s="1">
        <f>Table42610[[#This Row],[CF05 C-Hub PF]]</f>
        <v>0</v>
      </c>
      <c r="AK44" s="1">
        <f>SUM(Table42610[[#This Row],[Act Jan-25]:[Act Dec-25]])</f>
        <v>0</v>
      </c>
      <c r="AL44" s="1">
        <f>Table42610[[#This Row],[EAC (based on YTD actuals)]]-Table42610[[#This Row],[BAC (CF05 Plan)]]</f>
        <v>0</v>
      </c>
      <c r="AM44" s="1"/>
    </row>
    <row r="45" spans="1:39" ht="15" customHeight="1">
      <c r="A45" t="s">
        <v>141</v>
      </c>
      <c r="B45" t="s">
        <v>142</v>
      </c>
      <c r="C45" t="s">
        <v>49</v>
      </c>
      <c r="E45" t="s">
        <v>171</v>
      </c>
      <c r="G45" t="s">
        <v>146</v>
      </c>
      <c r="J45" s="15"/>
      <c r="K45" s="15"/>
      <c r="N45" s="1"/>
      <c r="O45" s="1"/>
      <c r="P45" s="75">
        <v>0</v>
      </c>
      <c r="Q45" s="1">
        <v>0</v>
      </c>
      <c r="R45" s="75">
        <f>Table42610[[#This Row],[C-Hub PF]]</f>
        <v>0</v>
      </c>
      <c r="T45" s="75">
        <v>0</v>
      </c>
      <c r="U45" s="76"/>
      <c r="V45" s="1"/>
      <c r="W45" s="1"/>
      <c r="X45" s="1"/>
      <c r="Y45" s="1">
        <f t="shared" si="5"/>
        <v>0</v>
      </c>
      <c r="Z45" s="1">
        <f t="shared" si="5"/>
        <v>0</v>
      </c>
      <c r="AA45" s="1">
        <f t="shared" si="5"/>
        <v>0</v>
      </c>
      <c r="AB45" s="1">
        <f t="shared" si="5"/>
        <v>0</v>
      </c>
      <c r="AC45" s="1">
        <f t="shared" si="5"/>
        <v>0</v>
      </c>
      <c r="AD45" s="1">
        <f t="shared" si="5"/>
        <v>0</v>
      </c>
      <c r="AE45" s="1">
        <f t="shared" si="5"/>
        <v>0</v>
      </c>
      <c r="AF45" s="1">
        <f t="shared" si="5"/>
        <v>0</v>
      </c>
      <c r="AG45" s="1">
        <f t="shared" si="5"/>
        <v>0</v>
      </c>
      <c r="AH45" s="1">
        <f t="shared" si="5"/>
        <v>0</v>
      </c>
      <c r="AI45" s="1" t="e">
        <f>SUMIF(#REF!,"completed",Table42610[[#This Row],[Act Jan-25]:[Act Dec-25]])</f>
        <v>#REF!</v>
      </c>
      <c r="AJ45" s="1">
        <f>Table42610[[#This Row],[CF05 C-Hub PF]]</f>
        <v>0</v>
      </c>
      <c r="AK45" s="1">
        <f>SUM(Table42610[[#This Row],[Act Jan-25]:[Act Dec-25]])</f>
        <v>0</v>
      </c>
      <c r="AL45" s="1">
        <f>Table42610[[#This Row],[EAC (based on YTD actuals)]]-Table42610[[#This Row],[BAC (CF05 Plan)]]</f>
        <v>0</v>
      </c>
      <c r="AM45" s="1"/>
    </row>
    <row r="46" spans="1:39" ht="15" customHeight="1">
      <c r="A46" t="s">
        <v>56</v>
      </c>
      <c r="B46" t="s">
        <v>172</v>
      </c>
      <c r="C46" t="s">
        <v>45</v>
      </c>
      <c r="D46" t="s">
        <v>173</v>
      </c>
      <c r="E46" t="s">
        <v>174</v>
      </c>
      <c r="F46" t="s">
        <v>47</v>
      </c>
      <c r="G46" t="s">
        <v>130</v>
      </c>
      <c r="H46" s="10" t="s">
        <v>54</v>
      </c>
      <c r="I46" t="s">
        <v>175</v>
      </c>
      <c r="J46" s="12">
        <v>1</v>
      </c>
      <c r="K46" s="12" t="s">
        <v>176</v>
      </c>
      <c r="N46" s="1"/>
      <c r="O46" s="1"/>
      <c r="P46" s="75">
        <v>136028.67200000002</v>
      </c>
      <c r="Q46" s="1">
        <v>0</v>
      </c>
      <c r="R46" s="75">
        <f>Table42610[[#This Row],[C-Hub PF]]</f>
        <v>136028.67200000002</v>
      </c>
      <c r="T46" s="86">
        <v>0</v>
      </c>
      <c r="U46" s="76"/>
      <c r="V46" s="1" t="s">
        <v>133</v>
      </c>
      <c r="W46" s="1"/>
      <c r="X46" s="1"/>
      <c r="Y46" s="1">
        <f t="shared" si="5"/>
        <v>0</v>
      </c>
      <c r="Z46" s="1">
        <f t="shared" si="5"/>
        <v>0</v>
      </c>
      <c r="AA46" s="1">
        <f t="shared" si="5"/>
        <v>0</v>
      </c>
      <c r="AB46" s="1">
        <f t="shared" si="5"/>
        <v>0</v>
      </c>
      <c r="AC46" s="1">
        <f t="shared" si="5"/>
        <v>0</v>
      </c>
      <c r="AD46" s="1">
        <f t="shared" si="5"/>
        <v>0</v>
      </c>
      <c r="AE46" s="1">
        <f t="shared" si="5"/>
        <v>0</v>
      </c>
      <c r="AF46" s="1">
        <f t="shared" si="5"/>
        <v>0</v>
      </c>
      <c r="AG46" s="1">
        <f t="shared" si="5"/>
        <v>0</v>
      </c>
      <c r="AH46" s="1">
        <f t="shared" si="5"/>
        <v>0</v>
      </c>
      <c r="AI46" s="1" t="e">
        <f>SUMIF(#REF!,"completed",Table42610[[#This Row],[Act Jan-25]:[Act Dec-25]])</f>
        <v>#REF!</v>
      </c>
      <c r="AJ46" s="1">
        <f>Table42610[[#This Row],[CF05 C-Hub PF]]</f>
        <v>0</v>
      </c>
      <c r="AK46" s="1">
        <f>SUM(W46:AH47)</f>
        <v>0</v>
      </c>
      <c r="AL46" s="1">
        <f>Table42610[[#This Row],[EAC (based on YTD actuals)]]-Table42610[[#This Row],[BAC (CF05 Plan)]]</f>
        <v>0</v>
      </c>
      <c r="AM46" s="1"/>
    </row>
    <row r="47" spans="1:39" ht="15" hidden="1" customHeight="1" outlineLevel="1">
      <c r="A47" s="63" t="s">
        <v>56</v>
      </c>
      <c r="B47" s="63" t="s">
        <v>172</v>
      </c>
      <c r="C47" s="63" t="s">
        <v>45</v>
      </c>
      <c r="D47" s="63"/>
      <c r="E47" s="63" t="s">
        <v>174</v>
      </c>
      <c r="F47" s="63" t="s">
        <v>47</v>
      </c>
      <c r="G47" s="63" t="s">
        <v>130</v>
      </c>
      <c r="H47" s="64" t="s">
        <v>62</v>
      </c>
      <c r="I47" s="63"/>
      <c r="J47" s="65"/>
      <c r="K47" s="66"/>
      <c r="L47" s="63"/>
      <c r="M47" s="63"/>
      <c r="N47" s="67"/>
      <c r="O47" s="67"/>
      <c r="P47" s="77"/>
      <c r="Q47" s="67"/>
      <c r="R47" s="77"/>
      <c r="S47" s="67"/>
      <c r="T47" s="77"/>
      <c r="U47" s="78"/>
      <c r="V47" s="68" t="s">
        <v>63</v>
      </c>
      <c r="W47" s="67"/>
      <c r="X47" s="67"/>
      <c r="Y47" s="67">
        <f t="shared" si="5"/>
        <v>0</v>
      </c>
      <c r="Z47" s="67">
        <f t="shared" si="5"/>
        <v>0</v>
      </c>
      <c r="AA47" s="67">
        <f t="shared" si="5"/>
        <v>0</v>
      </c>
      <c r="AB47" s="67">
        <f t="shared" si="5"/>
        <v>0</v>
      </c>
      <c r="AC47" s="67">
        <f t="shared" si="5"/>
        <v>0</v>
      </c>
      <c r="AD47" s="67">
        <f t="shared" si="5"/>
        <v>0</v>
      </c>
      <c r="AE47" s="67">
        <f t="shared" si="5"/>
        <v>0</v>
      </c>
      <c r="AF47" s="67">
        <f t="shared" si="5"/>
        <v>0</v>
      </c>
      <c r="AG47" s="67">
        <f t="shared" si="5"/>
        <v>0</v>
      </c>
      <c r="AH47" s="67">
        <f t="shared" si="5"/>
        <v>0</v>
      </c>
      <c r="AI47" s="67" t="e">
        <f>SUMIF(#REF!,"completed",Table42610[[#This Row],[Act Jan-25]:[Act Dec-25]])</f>
        <v>#REF!</v>
      </c>
      <c r="AJ47" s="67">
        <f>Table42610[[#This Row],[CF05 C-Hub PF]]</f>
        <v>0</v>
      </c>
      <c r="AK47" s="67"/>
      <c r="AL47" s="67"/>
      <c r="AM47" s="1"/>
    </row>
    <row r="48" spans="1:39" ht="15" customHeight="1" collapsed="1">
      <c r="A48" t="s">
        <v>76</v>
      </c>
      <c r="B48" t="s">
        <v>172</v>
      </c>
      <c r="C48" s="6" t="s">
        <v>45</v>
      </c>
      <c r="E48" t="s">
        <v>177</v>
      </c>
      <c r="F48" t="s">
        <v>65</v>
      </c>
      <c r="G48" t="s">
        <v>66</v>
      </c>
      <c r="H48" s="10" t="s">
        <v>67</v>
      </c>
      <c r="I48" t="s">
        <v>178</v>
      </c>
      <c r="J48" s="12">
        <v>1</v>
      </c>
      <c r="K48" s="12" t="s">
        <v>69</v>
      </c>
      <c r="L48" s="16">
        <v>1</v>
      </c>
      <c r="M48" t="e">
        <f>_xlfn.IFNA(VLOOKUP(Table42610[[#This Row],[Resource group]],#REF!,2,FALSE),"0")</f>
        <v>#REF!</v>
      </c>
      <c r="N48" s="1" t="e">
        <f>_xlfn.IFNA(VLOOKUP(Table42610[[#This Row],[Resource group]],#REF!,4,FALSE),"0")</f>
        <v>#REF!</v>
      </c>
      <c r="O48" s="1" t="e">
        <f>Table42610[[#This Row],[BP26 FTE (%) - input]]*Table42610[[#This Row],[Total Hrs 2026]]*Table42610[[#This Row],[Rate 2026]]</f>
        <v>#REF!</v>
      </c>
      <c r="P48" s="75">
        <v>78598.666666666672</v>
      </c>
      <c r="Q48" s="1">
        <v>0</v>
      </c>
      <c r="R48" s="75" t="e">
        <f>Table42610[[#This Row],[CF02 FTE(%) - input]]*Table42610[[#This Row],[Total Hrs 2026]]*Table42610[[#This Row],[Rate 2026]]</f>
        <v>#REF!</v>
      </c>
      <c r="T48" s="75">
        <v>78598.666666666672</v>
      </c>
      <c r="U48" s="76"/>
      <c r="V48" s="1"/>
      <c r="W48" s="1">
        <v>1707.7248</v>
      </c>
      <c r="X48" s="1">
        <v>3415.7977599999999</v>
      </c>
      <c r="Y48" s="1">
        <v>2775.6185599999999</v>
      </c>
      <c r="Z48" s="1">
        <f t="shared" ref="Y48:AH58" si="6">$AJ48/12</f>
        <v>6549.8888888888896</v>
      </c>
      <c r="AA48" s="1">
        <f t="shared" si="6"/>
        <v>6549.8888888888896</v>
      </c>
      <c r="AB48" s="1">
        <f t="shared" si="6"/>
        <v>6549.8888888888896</v>
      </c>
      <c r="AC48" s="1">
        <f t="shared" si="6"/>
        <v>6549.8888888888896</v>
      </c>
      <c r="AD48" s="1">
        <f t="shared" si="6"/>
        <v>6549.8888888888896</v>
      </c>
      <c r="AE48" s="1">
        <f t="shared" si="6"/>
        <v>6549.8888888888896</v>
      </c>
      <c r="AF48" s="1">
        <f t="shared" si="6"/>
        <v>6549.8888888888896</v>
      </c>
      <c r="AG48" s="1">
        <f t="shared" si="6"/>
        <v>6549.8888888888896</v>
      </c>
      <c r="AH48" s="1">
        <f t="shared" si="6"/>
        <v>6549.8888888888896</v>
      </c>
      <c r="AI48" s="1" t="e">
        <f>SUMIF(#REF!,"completed",Table42610[[#This Row],[Act Jan-25]:[Act Dec-25]])</f>
        <v>#REF!</v>
      </c>
      <c r="AJ48" s="1">
        <f>Table42610[[#This Row],[CF05 C-Hub PF]]</f>
        <v>78598.666666666672</v>
      </c>
      <c r="AK48" s="1">
        <f>SUM(Table42610[[#This Row],[Act Jan-25]:[Act Dec-25]])</f>
        <v>66848.14112</v>
      </c>
      <c r="AL48" s="1">
        <f>Table42610[[#This Row],[EAC (based on YTD actuals)]]-Table42610[[#This Row],[BAC (CF05 Plan)]]</f>
        <v>-11750.525546666671</v>
      </c>
      <c r="AM48" s="1"/>
    </row>
    <row r="49" spans="1:39" ht="15" customHeight="1">
      <c r="A49" t="s">
        <v>76</v>
      </c>
      <c r="B49" t="s">
        <v>92</v>
      </c>
      <c r="C49" t="s">
        <v>45</v>
      </c>
      <c r="E49" t="s">
        <v>179</v>
      </c>
      <c r="F49" t="s">
        <v>65</v>
      </c>
      <c r="G49" s="35" t="s">
        <v>66</v>
      </c>
      <c r="H49" s="10" t="s">
        <v>67</v>
      </c>
      <c r="I49" t="s">
        <v>180</v>
      </c>
      <c r="J49" s="12">
        <v>0.5</v>
      </c>
      <c r="K49" s="12" t="s">
        <v>69</v>
      </c>
      <c r="L49" s="16">
        <v>0.5</v>
      </c>
      <c r="M49" t="e">
        <f>_xlfn.IFNA(VLOOKUP(Table42610[[#This Row],[Resource group]],#REF!,2,FALSE),"0")</f>
        <v>#REF!</v>
      </c>
      <c r="N49" s="1" t="e">
        <f>_xlfn.IFNA(VLOOKUP(Table42610[[#This Row],[Resource group]],#REF!,4,FALSE),"0")</f>
        <v>#REF!</v>
      </c>
      <c r="O49" s="1" t="e">
        <f>Table42610[[#This Row],[BP26 FTE (%) - input]]*Table42610[[#This Row],[Total Hrs 2026]]*Table42610[[#This Row],[Rate 2026]]</f>
        <v>#REF!</v>
      </c>
      <c r="P49" s="75">
        <v>39299.333333333336</v>
      </c>
      <c r="Q49" s="1">
        <v>0</v>
      </c>
      <c r="R49" s="75" t="e">
        <f>Table42610[[#This Row],[CF02 FTE(%) - input]]*Table42610[[#This Row],[Total Hrs 2026]]*Table42610[[#This Row],[Rate 2026]]</f>
        <v>#REF!</v>
      </c>
      <c r="T49" s="75">
        <v>39299.333333333336</v>
      </c>
      <c r="U49" s="76"/>
      <c r="V49" s="1"/>
      <c r="W49" s="1">
        <v>533.66399999999999</v>
      </c>
      <c r="X49" s="1">
        <v>800.57759999999996</v>
      </c>
      <c r="Y49" s="1">
        <v>4483.6915200000003</v>
      </c>
      <c r="Z49" s="1">
        <f t="shared" si="6"/>
        <v>3274.9444444444448</v>
      </c>
      <c r="AA49" s="1">
        <f t="shared" si="6"/>
        <v>3274.9444444444448</v>
      </c>
      <c r="AB49" s="1">
        <f t="shared" si="6"/>
        <v>3274.9444444444448</v>
      </c>
      <c r="AC49" s="1">
        <f t="shared" si="6"/>
        <v>3274.9444444444448</v>
      </c>
      <c r="AD49" s="1">
        <f t="shared" si="6"/>
        <v>3274.9444444444448</v>
      </c>
      <c r="AE49" s="1">
        <f t="shared" si="6"/>
        <v>3274.9444444444448</v>
      </c>
      <c r="AF49" s="1">
        <f t="shared" si="6"/>
        <v>3274.9444444444448</v>
      </c>
      <c r="AG49" s="1">
        <f t="shared" si="6"/>
        <v>3274.9444444444448</v>
      </c>
      <c r="AH49" s="1">
        <f t="shared" si="6"/>
        <v>3274.9444444444448</v>
      </c>
      <c r="AI49" s="1" t="e">
        <f>SUMIF(#REF!,"completed",Table42610[[#This Row],[Act Jan-25]:[Act Dec-25]])</f>
        <v>#REF!</v>
      </c>
      <c r="AJ49" s="1">
        <f>Table42610[[#This Row],[CF05 C-Hub PF]]</f>
        <v>39299.333333333336</v>
      </c>
      <c r="AK49" s="1">
        <f>SUM(Table42610[[#This Row],[Act Jan-25]:[Act Dec-25]])</f>
        <v>35292.433120000002</v>
      </c>
      <c r="AL49" s="1">
        <f>Table42610[[#This Row],[EAC (based on YTD actuals)]]-Table42610[[#This Row],[BAC (CF05 Plan)]]</f>
        <v>-4006.9002133333342</v>
      </c>
      <c r="AM49" s="1"/>
    </row>
    <row r="50" spans="1:39" ht="15" customHeight="1">
      <c r="A50" t="s">
        <v>79</v>
      </c>
      <c r="C50" t="s">
        <v>39</v>
      </c>
      <c r="D50" t="s">
        <v>181</v>
      </c>
      <c r="E50" t="s">
        <v>182</v>
      </c>
      <c r="F50" t="s">
        <v>47</v>
      </c>
      <c r="G50" t="s">
        <v>108</v>
      </c>
      <c r="H50" s="10" t="s">
        <v>54</v>
      </c>
      <c r="I50" t="s">
        <v>43</v>
      </c>
      <c r="J50" s="12" t="s">
        <v>78</v>
      </c>
      <c r="K50" s="12"/>
      <c r="N50" s="1"/>
      <c r="O50" s="1"/>
      <c r="P50" s="75">
        <v>20000</v>
      </c>
      <c r="Q50" s="1">
        <v>30000</v>
      </c>
      <c r="R50" s="75">
        <v>20000</v>
      </c>
      <c r="S50" s="1">
        <v>30000</v>
      </c>
      <c r="T50" s="75">
        <v>20000</v>
      </c>
      <c r="U50" s="76">
        <v>30000</v>
      </c>
      <c r="V50" s="1"/>
      <c r="W50" s="1">
        <v>203.7</v>
      </c>
      <c r="X50" s="1"/>
      <c r="Y50" s="1">
        <f t="shared" si="6"/>
        <v>1666.6666666666667</v>
      </c>
      <c r="Z50" s="1">
        <f t="shared" si="6"/>
        <v>1666.6666666666667</v>
      </c>
      <c r="AA50" s="1">
        <f t="shared" si="6"/>
        <v>1666.6666666666667</v>
      </c>
      <c r="AB50" s="1">
        <f t="shared" si="6"/>
        <v>1666.6666666666667</v>
      </c>
      <c r="AC50" s="1">
        <f t="shared" si="6"/>
        <v>1666.6666666666667</v>
      </c>
      <c r="AD50" s="1">
        <f t="shared" si="6"/>
        <v>1666.6666666666667</v>
      </c>
      <c r="AE50" s="1">
        <f t="shared" si="6"/>
        <v>1666.6666666666667</v>
      </c>
      <c r="AF50" s="1">
        <f t="shared" si="6"/>
        <v>1666.6666666666667</v>
      </c>
      <c r="AG50" s="1">
        <f t="shared" si="6"/>
        <v>1666.6666666666667</v>
      </c>
      <c r="AH50" s="1">
        <f t="shared" si="6"/>
        <v>1666.6666666666667</v>
      </c>
      <c r="AI50" s="1" t="e">
        <f>SUMIF(#REF!,"completed",Table42610[[#This Row],[Act Jan-25]:[Act Dec-25]])</f>
        <v>#REF!</v>
      </c>
      <c r="AJ50" s="1">
        <f>Table42610[[#This Row],[CF05 C-Hub PF]]</f>
        <v>20000</v>
      </c>
      <c r="AK50" s="1">
        <f>SUM(Table42610[[#This Row],[Act Jan-25]:[Act Dec-25]])</f>
        <v>16870.366666666665</v>
      </c>
      <c r="AL50" s="1">
        <f>Table42610[[#This Row],[EAC (based on YTD actuals)]]-Table42610[[#This Row],[BAC (CF05 Plan)]]</f>
        <v>-3129.633333333335</v>
      </c>
      <c r="AM50" s="1"/>
    </row>
    <row r="51" spans="1:39" ht="15" customHeight="1">
      <c r="A51" t="s">
        <v>76</v>
      </c>
      <c r="B51" t="s">
        <v>71</v>
      </c>
      <c r="C51" t="s">
        <v>45</v>
      </c>
      <c r="E51" s="5" t="s">
        <v>183</v>
      </c>
      <c r="F51" t="s">
        <v>65</v>
      </c>
      <c r="G51" t="s">
        <v>66</v>
      </c>
      <c r="H51" s="10" t="s">
        <v>67</v>
      </c>
      <c r="I51" s="18" t="s">
        <v>184</v>
      </c>
      <c r="J51" s="12">
        <v>1</v>
      </c>
      <c r="K51" s="14" t="s">
        <v>185</v>
      </c>
      <c r="L51" s="16">
        <v>1</v>
      </c>
      <c r="M51" t="e">
        <f>_xlfn.IFNA(VLOOKUP(Table42610[[#This Row],[Resource group]],#REF!,2,FALSE),"0")</f>
        <v>#REF!</v>
      </c>
      <c r="N51" s="1" t="e">
        <f>_xlfn.IFNA(VLOOKUP(Table42610[[#This Row],[Resource group]],#REF!,4,FALSE),"0")</f>
        <v>#REF!</v>
      </c>
      <c r="O51" s="1" t="e">
        <f>Table42610[[#This Row],[BP26 FTE (%) - input]]*Table42610[[#This Row],[Total Hrs 2026]]*Table42610[[#This Row],[Rate 2026]]</f>
        <v>#REF!</v>
      </c>
      <c r="P51" s="75">
        <v>78598.666666666672</v>
      </c>
      <c r="Q51" s="1">
        <v>0</v>
      </c>
      <c r="R51" s="75" t="e">
        <f>Table42610[[#This Row],[CF02 FTE(%) - input]]*Table42610[[#This Row],[Total Hrs 2026]]*Table42610[[#This Row],[Rate 2026]]</f>
        <v>#REF!</v>
      </c>
      <c r="T51" s="75">
        <v>78598.666666666672</v>
      </c>
      <c r="U51" s="76"/>
      <c r="V51" s="1"/>
      <c r="W51" s="1">
        <f>6403.968+16632</f>
        <v>23035.968000000001</v>
      </c>
      <c r="X51" s="1">
        <v>8112.5196800000003</v>
      </c>
      <c r="Y51" s="1">
        <v>9394.40128</v>
      </c>
      <c r="Z51" s="1">
        <f t="shared" si="6"/>
        <v>6549.8888888888896</v>
      </c>
      <c r="AA51" s="1">
        <f t="shared" si="6"/>
        <v>6549.8888888888896</v>
      </c>
      <c r="AB51" s="1">
        <f t="shared" si="6"/>
        <v>6549.8888888888896</v>
      </c>
      <c r="AC51" s="1">
        <f t="shared" si="6"/>
        <v>6549.8888888888896</v>
      </c>
      <c r="AD51" s="1">
        <f t="shared" si="6"/>
        <v>6549.8888888888896</v>
      </c>
      <c r="AE51" s="1">
        <f t="shared" si="6"/>
        <v>6549.8888888888896</v>
      </c>
      <c r="AF51" s="1">
        <f t="shared" si="6"/>
        <v>6549.8888888888896</v>
      </c>
      <c r="AG51" s="1">
        <f t="shared" si="6"/>
        <v>6549.8888888888896</v>
      </c>
      <c r="AH51" s="1">
        <f t="shared" si="6"/>
        <v>6549.8888888888896</v>
      </c>
      <c r="AI51" s="1" t="e">
        <f>SUMIF(#REF!,"completed",Table42610[[#This Row],[Act Jan-25]:[Act Dec-25]])</f>
        <v>#REF!</v>
      </c>
      <c r="AJ51" s="1">
        <f>Table42610[[#This Row],[CF05 C-Hub PF]]</f>
        <v>78598.666666666672</v>
      </c>
      <c r="AK51" s="1">
        <f>SUM(Table42610[[#This Row],[Act Jan-25]:[Act Dec-25]])</f>
        <v>99491.888960000011</v>
      </c>
      <c r="AL51" s="1">
        <f>Table42610[[#This Row],[EAC (based on YTD actuals)]]-Table42610[[#This Row],[BAC (CF05 Plan)]]</f>
        <v>20893.22229333334</v>
      </c>
      <c r="AM51" s="1"/>
    </row>
    <row r="52" spans="1:39" ht="15" customHeight="1">
      <c r="A52" t="s">
        <v>76</v>
      </c>
      <c r="B52" t="s">
        <v>186</v>
      </c>
      <c r="C52" t="s">
        <v>45</v>
      </c>
      <c r="E52" t="s">
        <v>187</v>
      </c>
      <c r="F52" t="s">
        <v>72</v>
      </c>
      <c r="G52" t="s">
        <v>73</v>
      </c>
      <c r="H52" s="10" t="s">
        <v>67</v>
      </c>
      <c r="I52" s="18" t="s">
        <v>188</v>
      </c>
      <c r="J52" s="12">
        <v>1</v>
      </c>
      <c r="K52" s="12" t="s">
        <v>189</v>
      </c>
      <c r="L52" s="16">
        <v>1</v>
      </c>
      <c r="M52" t="e">
        <f>_xlfn.IFNA(VLOOKUP(Table42610[[#This Row],[Resource group]],#REF!,2,FALSE),"0")</f>
        <v>#REF!</v>
      </c>
      <c r="N52" s="1" t="e">
        <f>_xlfn.IFNA(VLOOKUP(Table42610[[#This Row],[Resource group]],#REF!,4,FALSE),"0")</f>
        <v>#REF!</v>
      </c>
      <c r="O52" s="1" t="e">
        <f>Table42610[[#This Row],[BP26 FTE (%) - input]]*Table42610[[#This Row],[Total Hrs 2026]]*Table42610[[#This Row],[Rate 2026]]</f>
        <v>#REF!</v>
      </c>
      <c r="P52" s="75">
        <v>52462.84</v>
      </c>
      <c r="Q52" s="1">
        <v>0</v>
      </c>
      <c r="R52" s="75" t="e">
        <f>Table42610[[#This Row],[CF02 FTE(%) - input]]*Table42610[[#This Row],[Total Hrs 2026]]*Table42610[[#This Row],[Rate 2026]]</f>
        <v>#REF!</v>
      </c>
      <c r="T52" s="75">
        <v>52462.84</v>
      </c>
      <c r="U52" s="76"/>
      <c r="V52" s="1"/>
      <c r="W52" s="1">
        <v>4166.1955988640002</v>
      </c>
      <c r="X52" s="1">
        <v>4107.1232760479998</v>
      </c>
      <c r="Y52" s="1">
        <v>4146.7853241359999</v>
      </c>
      <c r="Z52" s="1">
        <f t="shared" si="6"/>
        <v>4371.9033333333327</v>
      </c>
      <c r="AA52" s="1">
        <f t="shared" si="6"/>
        <v>4371.9033333333327</v>
      </c>
      <c r="AB52" s="1">
        <f t="shared" si="6"/>
        <v>4371.9033333333327</v>
      </c>
      <c r="AC52" s="1">
        <f t="shared" si="6"/>
        <v>4371.9033333333327</v>
      </c>
      <c r="AD52" s="1">
        <f t="shared" si="6"/>
        <v>4371.9033333333327</v>
      </c>
      <c r="AE52" s="1">
        <f t="shared" si="6"/>
        <v>4371.9033333333327</v>
      </c>
      <c r="AF52" s="1">
        <f t="shared" si="6"/>
        <v>4371.9033333333327</v>
      </c>
      <c r="AG52" s="1">
        <f t="shared" si="6"/>
        <v>4371.9033333333327</v>
      </c>
      <c r="AH52" s="1">
        <f t="shared" si="6"/>
        <v>4371.9033333333327</v>
      </c>
      <c r="AI52" s="1" t="e">
        <f>SUMIF(#REF!,"completed",Table42610[[#This Row],[Act Jan-25]:[Act Dec-25]])</f>
        <v>#REF!</v>
      </c>
      <c r="AJ52" s="1">
        <f>Table42610[[#This Row],[CF05 C-Hub PF]]</f>
        <v>52462.84</v>
      </c>
      <c r="AK52" s="1">
        <f>SUM(Table42610[[#This Row],[Act Jan-25]:[Act Dec-25]])</f>
        <v>51767.234199048005</v>
      </c>
      <c r="AL52" s="1">
        <f>Table42610[[#This Row],[EAC (based on YTD actuals)]]-Table42610[[#This Row],[BAC (CF05 Plan)]]</f>
        <v>-695.60580095199111</v>
      </c>
      <c r="AM52" s="1"/>
    </row>
    <row r="53" spans="1:39" ht="15" customHeight="1">
      <c r="A53" t="s">
        <v>76</v>
      </c>
      <c r="B53" t="s">
        <v>186</v>
      </c>
      <c r="C53" t="s">
        <v>45</v>
      </c>
      <c r="E53" t="s">
        <v>190</v>
      </c>
      <c r="F53" t="s">
        <v>65</v>
      </c>
      <c r="G53" t="s">
        <v>66</v>
      </c>
      <c r="H53" s="10" t="s">
        <v>67</v>
      </c>
      <c r="I53" s="18" t="s">
        <v>191</v>
      </c>
      <c r="J53" s="12">
        <v>2</v>
      </c>
      <c r="K53" s="14" t="s">
        <v>192</v>
      </c>
      <c r="L53" s="16">
        <v>2</v>
      </c>
      <c r="M53" t="e">
        <f>_xlfn.IFNA(VLOOKUP(Table42610[[#This Row],[Resource group]],#REF!,2,FALSE),"0")</f>
        <v>#REF!</v>
      </c>
      <c r="N53" s="1" t="e">
        <f>_xlfn.IFNA(VLOOKUP(Table42610[[#This Row],[Resource group]],#REF!,4,FALSE),"0")</f>
        <v>#REF!</v>
      </c>
      <c r="O53" s="1" t="e">
        <f>Table42610[[#This Row],[BP26 FTE (%) - input]]*Table42610[[#This Row],[Total Hrs 2026]]*Table42610[[#This Row],[Rate 2026]]</f>
        <v>#REF!</v>
      </c>
      <c r="P53" s="75">
        <v>157197.33333333334</v>
      </c>
      <c r="Q53" s="1">
        <v>0</v>
      </c>
      <c r="R53" s="86" t="e">
        <f>Table42610[[#This Row],[CF02 FTE(%) - input]]*Table42610[[#This Row],[Total Hrs 2026]]*Table42610[[#This Row],[Rate 2026]]</f>
        <v>#REF!</v>
      </c>
      <c r="T53" s="75">
        <v>157197.33333333334</v>
      </c>
      <c r="U53" s="76"/>
      <c r="V53" s="1" t="s">
        <v>70</v>
      </c>
      <c r="W53" s="1">
        <v>20492.6976</v>
      </c>
      <c r="X53" s="1">
        <v>25618.483199999999</v>
      </c>
      <c r="Y53" s="1">
        <v>23699.512320000002</v>
      </c>
      <c r="Z53" s="1">
        <f t="shared" si="6"/>
        <v>13099.777777777779</v>
      </c>
      <c r="AA53" s="1">
        <f t="shared" si="6"/>
        <v>13099.777777777779</v>
      </c>
      <c r="AB53" s="1">
        <f t="shared" si="6"/>
        <v>13099.777777777779</v>
      </c>
      <c r="AC53" s="1">
        <f t="shared" si="6"/>
        <v>13099.777777777779</v>
      </c>
      <c r="AD53" s="1">
        <f t="shared" si="6"/>
        <v>13099.777777777779</v>
      </c>
      <c r="AE53" s="1">
        <f t="shared" si="6"/>
        <v>13099.777777777779</v>
      </c>
      <c r="AF53" s="1">
        <f t="shared" si="6"/>
        <v>13099.777777777779</v>
      </c>
      <c r="AG53" s="1">
        <f t="shared" si="6"/>
        <v>13099.777777777779</v>
      </c>
      <c r="AH53" s="1">
        <f t="shared" si="6"/>
        <v>13099.777777777779</v>
      </c>
      <c r="AI53" s="1" t="e">
        <f>SUMIF(#REF!,"completed",Table42610[[#This Row],[Act Jan-25]:[Act Dec-25]])</f>
        <v>#REF!</v>
      </c>
      <c r="AJ53" s="1">
        <f>Table42610[[#This Row],[CF05 C-Hub PF]]</f>
        <v>157197.33333333334</v>
      </c>
      <c r="AK53" s="1">
        <f>SUM(Table42610[[#This Row],[Act Jan-25]:[Act Dec-25]])</f>
        <v>187708.69312000004</v>
      </c>
      <c r="AL53" s="1">
        <f>Table42610[[#This Row],[EAC (based on YTD actuals)]]-Table42610[[#This Row],[BAC (CF05 Plan)]]</f>
        <v>30511.359786666697</v>
      </c>
      <c r="AM53" s="1"/>
    </row>
    <row r="54" spans="1:39" ht="15" customHeight="1">
      <c r="A54" t="s">
        <v>76</v>
      </c>
      <c r="B54" t="s">
        <v>92</v>
      </c>
      <c r="C54" s="6" t="s">
        <v>39</v>
      </c>
      <c r="D54" s="6"/>
      <c r="E54" t="s">
        <v>93</v>
      </c>
      <c r="F54" t="s">
        <v>135</v>
      </c>
      <c r="G54" t="s">
        <v>136</v>
      </c>
      <c r="H54" s="10" t="s">
        <v>67</v>
      </c>
      <c r="I54" t="s">
        <v>193</v>
      </c>
      <c r="J54" s="14">
        <v>1</v>
      </c>
      <c r="K54" s="14" t="s">
        <v>69</v>
      </c>
      <c r="L54" s="16">
        <v>0.31642466948734849</v>
      </c>
      <c r="M54" t="e">
        <f>_xlfn.IFNA(VLOOKUP(Table42610[[#This Row],[Resource group]],#REF!,2,FALSE),"0")</f>
        <v>#REF!</v>
      </c>
      <c r="N54" s="1" t="e">
        <f>_xlfn.IFNA(VLOOKUP(Table42610[[#This Row],[Resource group]],#REF!,4,FALSE),"0")</f>
        <v>#REF!</v>
      </c>
      <c r="O54" s="1" t="e">
        <f>Table42610[[#This Row],[BP26 FTE (%) - input]]*Table42610[[#This Row],[Total Hrs 2026]]*Table42610[[#This Row],[Rate 2026]]</f>
        <v>#REF!</v>
      </c>
      <c r="P54" s="75">
        <v>71785.71428571429</v>
      </c>
      <c r="Q54" s="1">
        <v>0</v>
      </c>
      <c r="R54" s="75" t="e">
        <f>Table42610[[#This Row],[CF02 FTE(%) - input]]*Table42610[[#This Row],[Total Hrs 2026]]*Table42610[[#This Row],[Rate 2026]]</f>
        <v>#REF!</v>
      </c>
      <c r="T54" s="75">
        <v>71785.714285714275</v>
      </c>
      <c r="U54" s="76"/>
      <c r="V54" s="1"/>
      <c r="W54" s="1">
        <v>5752.3</v>
      </c>
      <c r="X54" s="1">
        <v>6874.7</v>
      </c>
      <c r="Y54" s="1">
        <v>12346.4</v>
      </c>
      <c r="Z54" s="1">
        <f t="shared" si="6"/>
        <v>5982.142857142856</v>
      </c>
      <c r="AA54" s="1">
        <f t="shared" si="6"/>
        <v>5982.142857142856</v>
      </c>
      <c r="AB54" s="1">
        <f t="shared" si="6"/>
        <v>5982.142857142856</v>
      </c>
      <c r="AC54" s="1">
        <f t="shared" si="6"/>
        <v>5982.142857142856</v>
      </c>
      <c r="AD54" s="1">
        <f t="shared" si="6"/>
        <v>5982.142857142856</v>
      </c>
      <c r="AE54" s="1">
        <f t="shared" si="6"/>
        <v>5982.142857142856</v>
      </c>
      <c r="AF54" s="1">
        <f t="shared" si="6"/>
        <v>5982.142857142856</v>
      </c>
      <c r="AG54" s="1">
        <f t="shared" si="6"/>
        <v>5982.142857142856</v>
      </c>
      <c r="AH54" s="1">
        <f t="shared" si="6"/>
        <v>5982.142857142856</v>
      </c>
      <c r="AI54" s="1" t="e">
        <f>SUMIF(#REF!,"completed",Table42610[[#This Row],[Act Jan-25]:[Act Dec-25]])</f>
        <v>#REF!</v>
      </c>
      <c r="AJ54" s="1">
        <f>Table42610[[#This Row],[CF05 C-Hub PF]]</f>
        <v>71785.714285714275</v>
      </c>
      <c r="AK54" s="1">
        <f>SUM(Table42610[[#This Row],[Act Jan-25]:[Act Dec-25]])</f>
        <v>78812.685714285704</v>
      </c>
      <c r="AL54" s="1">
        <f>Table42610[[#This Row],[EAC (based on YTD actuals)]]-Table42610[[#This Row],[BAC (CF05 Plan)]]</f>
        <v>7026.971428571429</v>
      </c>
      <c r="AM54" s="1"/>
    </row>
    <row r="55" spans="1:39" ht="15" customHeight="1">
      <c r="A55" t="s">
        <v>76</v>
      </c>
      <c r="B55" t="s">
        <v>71</v>
      </c>
      <c r="C55" t="s">
        <v>39</v>
      </c>
      <c r="E55" t="s">
        <v>194</v>
      </c>
      <c r="F55" t="s">
        <v>116</v>
      </c>
      <c r="G55" t="s">
        <v>53</v>
      </c>
      <c r="H55" s="10" t="s">
        <v>67</v>
      </c>
      <c r="I55" s="18" t="s">
        <v>195</v>
      </c>
      <c r="J55" s="12">
        <v>1</v>
      </c>
      <c r="K55" s="15" t="s">
        <v>166</v>
      </c>
      <c r="L55" s="16">
        <v>1</v>
      </c>
      <c r="M55" t="e">
        <f>_xlfn.IFNA(VLOOKUP(Table42610[[#This Row],[Resource group]],#REF!,2,FALSE),"0")</f>
        <v>#REF!</v>
      </c>
      <c r="N55" s="1" t="e">
        <f>_xlfn.IFNA(VLOOKUP(Table42610[[#This Row],[Resource group]],#REF!,4,FALSE),"0")</f>
        <v>#REF!</v>
      </c>
      <c r="O55" s="1" t="e">
        <f>Table42610[[#This Row],[BP26 FTE (%) - input]]*Table42610[[#This Row],[Total Hrs 2026]]*Table42610[[#This Row],[Rate 2026]]</f>
        <v>#REF!</v>
      </c>
      <c r="P55" s="75">
        <v>210721.50000000003</v>
      </c>
      <c r="Q55" s="1"/>
      <c r="R55" s="75" t="e">
        <f>Table42610[[#This Row],[CF02 FTE(%) - input]]*Table42610[[#This Row],[Total Hrs 2026]]*Table42610[[#This Row],[Rate 2026]]</f>
        <v>#REF!</v>
      </c>
      <c r="T55" s="75">
        <v>210721.50000000003</v>
      </c>
      <c r="U55" s="76"/>
      <c r="V55" s="1"/>
      <c r="W55" s="1">
        <v>19750.5</v>
      </c>
      <c r="X55" s="1">
        <v>11768.625</v>
      </c>
      <c r="Y55" s="1">
        <v>21235.5</v>
      </c>
      <c r="Z55" s="1">
        <f t="shared" si="6"/>
        <v>17560.125000000004</v>
      </c>
      <c r="AA55" s="1">
        <f t="shared" si="6"/>
        <v>17560.125000000004</v>
      </c>
      <c r="AB55" s="1">
        <f t="shared" si="6"/>
        <v>17560.125000000004</v>
      </c>
      <c r="AC55" s="1">
        <f t="shared" si="6"/>
        <v>17560.125000000004</v>
      </c>
      <c r="AD55" s="1">
        <f t="shared" si="6"/>
        <v>17560.125000000004</v>
      </c>
      <c r="AE55" s="1">
        <f t="shared" si="6"/>
        <v>17560.125000000004</v>
      </c>
      <c r="AF55" s="1">
        <f t="shared" si="6"/>
        <v>17560.125000000004</v>
      </c>
      <c r="AG55" s="1">
        <f t="shared" si="6"/>
        <v>17560.125000000004</v>
      </c>
      <c r="AH55" s="1">
        <f t="shared" si="6"/>
        <v>17560.125000000004</v>
      </c>
      <c r="AI55" s="1" t="e">
        <f>SUMIF(#REF!,"completed",Table42610[[#This Row],[Act Jan-25]:[Act Dec-25]])</f>
        <v>#REF!</v>
      </c>
      <c r="AJ55" s="1">
        <f>Table42610[[#This Row],[CF05 C-Hub PF]]</f>
        <v>210721.50000000003</v>
      </c>
      <c r="AK55" s="1">
        <f>SUM(Table42610[[#This Row],[Act Jan-25]:[Act Dec-25]])</f>
        <v>210795.75</v>
      </c>
      <c r="AL55" s="1">
        <f>Table42610[[#This Row],[EAC (based on YTD actuals)]]-Table42610[[#This Row],[BAC (CF05 Plan)]]</f>
        <v>74.249999999970896</v>
      </c>
      <c r="AM55" s="1"/>
    </row>
    <row r="56" spans="1:39" ht="15" customHeight="1">
      <c r="A56" t="s">
        <v>76</v>
      </c>
      <c r="B56" t="s">
        <v>92</v>
      </c>
      <c r="C56" t="s">
        <v>45</v>
      </c>
      <c r="E56" t="s">
        <v>196</v>
      </c>
      <c r="F56" t="s">
        <v>197</v>
      </c>
      <c r="G56" t="s">
        <v>66</v>
      </c>
      <c r="H56" s="10" t="s">
        <v>67</v>
      </c>
      <c r="I56" t="s">
        <v>198</v>
      </c>
      <c r="J56" s="12">
        <v>1</v>
      </c>
      <c r="K56" s="14" t="s">
        <v>199</v>
      </c>
      <c r="L56" s="16">
        <v>1</v>
      </c>
      <c r="M56" t="e">
        <f>_xlfn.IFNA(VLOOKUP(Table42610[[#This Row],[Resource group]],#REF!,2,FALSE),"0")</f>
        <v>#REF!</v>
      </c>
      <c r="N56" s="1" t="e">
        <f>_xlfn.IFNA(VLOOKUP(Table42610[[#This Row],[Resource group]],#REF!,4,FALSE),"0")</f>
        <v>#REF!</v>
      </c>
      <c r="O56" s="1" t="e">
        <f>Table42610[[#This Row],[BP26 FTE (%) - input]]*Table42610[[#This Row],[Total Hrs 2026]]*Table42610[[#This Row],[Rate 2026]]</f>
        <v>#REF!</v>
      </c>
      <c r="P56" s="75">
        <v>81437</v>
      </c>
      <c r="Q56" s="1">
        <v>0</v>
      </c>
      <c r="R56" s="75" t="e">
        <f>Table42610[[#This Row],[CF02 FTE(%) - input]]*Table42610[[#This Row],[Total Hrs 2026]]*Table42610[[#This Row],[Rate 2026]]</f>
        <v>#REF!</v>
      </c>
      <c r="T56" s="75">
        <v>81437</v>
      </c>
      <c r="U56" s="76"/>
      <c r="V56" s="1"/>
      <c r="W56" s="1">
        <v>6724.1664000000001</v>
      </c>
      <c r="X56" s="1">
        <v>3842.7724799999996</v>
      </c>
      <c r="Y56" s="1">
        <v>9394.40128</v>
      </c>
      <c r="Z56" s="1">
        <f t="shared" si="6"/>
        <v>6786.416666666667</v>
      </c>
      <c r="AA56" s="1">
        <f t="shared" si="6"/>
        <v>6786.416666666667</v>
      </c>
      <c r="AB56" s="1">
        <f t="shared" si="6"/>
        <v>6786.416666666667</v>
      </c>
      <c r="AC56" s="1">
        <f t="shared" si="6"/>
        <v>6786.416666666667</v>
      </c>
      <c r="AD56" s="1">
        <f t="shared" si="6"/>
        <v>6786.416666666667</v>
      </c>
      <c r="AE56" s="1">
        <f t="shared" si="6"/>
        <v>6786.416666666667</v>
      </c>
      <c r="AF56" s="1">
        <f t="shared" si="6"/>
        <v>6786.416666666667</v>
      </c>
      <c r="AG56" s="1">
        <f t="shared" si="6"/>
        <v>6786.416666666667</v>
      </c>
      <c r="AH56" s="1">
        <f t="shared" si="6"/>
        <v>6786.416666666667</v>
      </c>
      <c r="AI56" s="1" t="e">
        <f>SUMIF(#REF!,"completed",Table42610[[#This Row],[Act Jan-25]:[Act Dec-25]])</f>
        <v>#REF!</v>
      </c>
      <c r="AJ56" s="1">
        <f>Table42610[[#This Row],[CF05 C-Hub PF]]</f>
        <v>81437</v>
      </c>
      <c r="AK56" s="1">
        <f>SUM(Table42610[[#This Row],[Act Jan-25]:[Act Dec-25]])</f>
        <v>81039.090160000007</v>
      </c>
      <c r="AL56" s="1">
        <f>Table42610[[#This Row],[EAC (based on YTD actuals)]]-Table42610[[#This Row],[BAC (CF05 Plan)]]</f>
        <v>-397.90983999999298</v>
      </c>
      <c r="AM56" s="1"/>
    </row>
    <row r="57" spans="1:39" ht="15" customHeight="1">
      <c r="A57" t="s">
        <v>76</v>
      </c>
      <c r="B57" t="s">
        <v>92</v>
      </c>
      <c r="C57" t="s">
        <v>45</v>
      </c>
      <c r="E57" t="s">
        <v>200</v>
      </c>
      <c r="F57" t="s">
        <v>197</v>
      </c>
      <c r="G57" t="s">
        <v>66</v>
      </c>
      <c r="H57" s="10" t="s">
        <v>67</v>
      </c>
      <c r="I57" t="s">
        <v>201</v>
      </c>
      <c r="J57" s="12">
        <v>1</v>
      </c>
      <c r="K57" s="14" t="s">
        <v>199</v>
      </c>
      <c r="L57" s="16">
        <v>1</v>
      </c>
      <c r="M57" t="e">
        <f>_xlfn.IFNA(VLOOKUP(Table42610[[#This Row],[Resource group]],#REF!,2,FALSE),"0")</f>
        <v>#REF!</v>
      </c>
      <c r="N57" s="1" t="e">
        <f>_xlfn.IFNA(VLOOKUP(Table42610[[#This Row],[Resource group]],#REF!,4,FALSE),"0")</f>
        <v>#REF!</v>
      </c>
      <c r="O57" s="1" t="e">
        <f>Table42610[[#This Row],[BP26 FTE (%) - input]]*Table42610[[#This Row],[Total Hrs 2026]]*Table42610[[#This Row],[Rate 2026]]</f>
        <v>#REF!</v>
      </c>
      <c r="P57" s="75">
        <v>81437</v>
      </c>
      <c r="Q57" s="1">
        <v>0</v>
      </c>
      <c r="R57" s="75" t="e">
        <f>Table42610[[#This Row],[CF02 FTE(%) - input]]*Table42610[[#This Row],[Total Hrs 2026]]*Table42610[[#This Row],[Rate 2026]]</f>
        <v>#REF!</v>
      </c>
      <c r="T57" s="75">
        <v>81437</v>
      </c>
      <c r="U57" s="76"/>
      <c r="V57" s="1"/>
      <c r="W57" s="1">
        <v>6403.9679999999998</v>
      </c>
      <c r="X57" s="1">
        <v>8539.4943999999996</v>
      </c>
      <c r="Y57" s="1">
        <v>9394.40128</v>
      </c>
      <c r="Z57" s="1">
        <f t="shared" si="6"/>
        <v>6786.416666666667</v>
      </c>
      <c r="AA57" s="1">
        <f t="shared" si="6"/>
        <v>6786.416666666667</v>
      </c>
      <c r="AB57" s="1">
        <f t="shared" si="6"/>
        <v>6786.416666666667</v>
      </c>
      <c r="AC57" s="1">
        <f t="shared" si="6"/>
        <v>6786.416666666667</v>
      </c>
      <c r="AD57" s="1">
        <f t="shared" si="6"/>
        <v>6786.416666666667</v>
      </c>
      <c r="AE57" s="1">
        <f t="shared" si="6"/>
        <v>6786.416666666667</v>
      </c>
      <c r="AF57" s="1">
        <f t="shared" si="6"/>
        <v>6786.416666666667</v>
      </c>
      <c r="AG57" s="1">
        <f t="shared" si="6"/>
        <v>6786.416666666667</v>
      </c>
      <c r="AH57" s="1">
        <f t="shared" si="6"/>
        <v>6786.416666666667</v>
      </c>
      <c r="AI57" s="1" t="e">
        <f>SUMIF(#REF!,"completed",Table42610[[#This Row],[Act Jan-25]:[Act Dec-25]])</f>
        <v>#REF!</v>
      </c>
      <c r="AJ57" s="1">
        <f>Table42610[[#This Row],[CF05 C-Hub PF]]</f>
        <v>81437</v>
      </c>
      <c r="AK57" s="1">
        <f>SUM(Table42610[[#This Row],[Act Jan-25]:[Act Dec-25]])</f>
        <v>85415.613680000009</v>
      </c>
      <c r="AL57" s="1">
        <f>Table42610[[#This Row],[EAC (based on YTD actuals)]]-Table42610[[#This Row],[BAC (CF05 Plan)]]</f>
        <v>3978.6136800000095</v>
      </c>
      <c r="AM57" s="1"/>
    </row>
    <row r="58" spans="1:39">
      <c r="C58" t="s">
        <v>45</v>
      </c>
      <c r="E58" t="s">
        <v>202</v>
      </c>
      <c r="F58" t="s">
        <v>47</v>
      </c>
      <c r="G58" t="s">
        <v>108</v>
      </c>
      <c r="H58" s="10" t="s">
        <v>54</v>
      </c>
      <c r="J58" s="15"/>
      <c r="K58" s="15"/>
      <c r="N58" s="1"/>
      <c r="O58" s="1"/>
      <c r="P58" s="75">
        <v>0</v>
      </c>
      <c r="Q58" s="1">
        <v>0</v>
      </c>
      <c r="R58" s="75">
        <f>Table42610[[#This Row],[C-Hub PF]]</f>
        <v>0</v>
      </c>
      <c r="T58" s="75">
        <v>0</v>
      </c>
      <c r="U58" s="76"/>
      <c r="V58" s="1"/>
      <c r="W58" s="1"/>
      <c r="X58" s="1"/>
      <c r="Y58" s="1">
        <f t="shared" si="6"/>
        <v>0</v>
      </c>
      <c r="Z58" s="1">
        <f t="shared" si="6"/>
        <v>0</v>
      </c>
      <c r="AA58" s="1">
        <f t="shared" si="6"/>
        <v>0</v>
      </c>
      <c r="AB58" s="1">
        <f t="shared" si="6"/>
        <v>0</v>
      </c>
      <c r="AC58" s="1">
        <f t="shared" si="6"/>
        <v>0</v>
      </c>
      <c r="AD58" s="1">
        <f t="shared" si="6"/>
        <v>0</v>
      </c>
      <c r="AE58" s="1">
        <f t="shared" si="6"/>
        <v>0</v>
      </c>
      <c r="AF58" s="1">
        <f t="shared" si="6"/>
        <v>0</v>
      </c>
      <c r="AG58" s="1">
        <f t="shared" si="6"/>
        <v>0</v>
      </c>
      <c r="AH58" s="1">
        <f t="shared" si="6"/>
        <v>0</v>
      </c>
      <c r="AI58" s="1" t="e">
        <f>SUMIF(#REF!,"completed",Table42610[[#This Row],[Act Jan-25]:[Act Dec-25]])</f>
        <v>#REF!</v>
      </c>
      <c r="AJ58" s="1">
        <f>Table42610[[#This Row],[CF05 C-Hub PF]]</f>
        <v>0</v>
      </c>
      <c r="AK58" s="1">
        <f>SUM(Table42610[[#This Row],[Act Jan-25]:[Act Dec-25]])</f>
        <v>0</v>
      </c>
      <c r="AL58" s="1">
        <f>Table42610[[#This Row],[EAC (based on YTD actuals)]]-Table42610[[#This Row],[BAC (CF05 Plan)]]</f>
        <v>0</v>
      </c>
      <c r="AM58" s="1"/>
    </row>
    <row r="59" spans="1:39" ht="15" thickBot="1">
      <c r="A59" t="s">
        <v>141</v>
      </c>
      <c r="B59" t="s">
        <v>44</v>
      </c>
      <c r="C59" t="s">
        <v>143</v>
      </c>
      <c r="E59" t="s">
        <v>203</v>
      </c>
      <c r="F59" t="s">
        <v>47</v>
      </c>
      <c r="G59" t="s">
        <v>146</v>
      </c>
      <c r="H59" s="10" t="s">
        <v>44</v>
      </c>
      <c r="J59" s="15"/>
      <c r="K59" s="15"/>
      <c r="L59">
        <v>0</v>
      </c>
      <c r="N59" s="1"/>
      <c r="O59" s="1"/>
      <c r="P59" s="80">
        <v>-286993.91999999998</v>
      </c>
      <c r="Q59" s="34">
        <v>0</v>
      </c>
      <c r="R59" s="75">
        <f>Table42610[[#This Row],[C-Hub PF]]</f>
        <v>-286993.91999999998</v>
      </c>
      <c r="T59" s="86">
        <v>-343003.95025112602</v>
      </c>
      <c r="U59" s="76"/>
      <c r="V59" s="1" t="s">
        <v>204</v>
      </c>
      <c r="W59" s="1"/>
      <c r="X59" s="1"/>
      <c r="Y59" s="1">
        <v>0</v>
      </c>
      <c r="Z59" s="1">
        <v>0</v>
      </c>
      <c r="AA59" s="1">
        <v>0</v>
      </c>
      <c r="AB59" s="1">
        <v>0</v>
      </c>
      <c r="AC59" s="1">
        <v>0</v>
      </c>
      <c r="AD59" s="1">
        <v>0</v>
      </c>
      <c r="AE59" s="1">
        <v>0</v>
      </c>
      <c r="AF59" s="1">
        <v>0</v>
      </c>
      <c r="AG59" s="1">
        <v>0</v>
      </c>
      <c r="AH59" s="1">
        <v>0</v>
      </c>
      <c r="AI59" s="1" t="e">
        <f>SUMIF(#REF!,"completed",Table42610[[#This Row],[Act Jan-25]:[Act Dec-25]])</f>
        <v>#REF!</v>
      </c>
      <c r="AJ59" s="1">
        <f>Table42610[[#This Row],[CF05 C-Hub PF]]</f>
        <v>-343003.95025112602</v>
      </c>
      <c r="AK59" s="1">
        <f>SUM(Table42610[[#This Row],[Act Jan-25]:[Act Dec-25]])</f>
        <v>0</v>
      </c>
      <c r="AL59" s="1">
        <f>Table42610[[#This Row],[EAC (based on YTD actuals)]]-Table42610[[#This Row],[BAC (CF05 Plan)]]</f>
        <v>343003.95025112602</v>
      </c>
      <c r="AM59" s="1"/>
    </row>
    <row r="60" spans="1:39">
      <c r="J60" s="15"/>
      <c r="K60" s="15"/>
      <c r="N60" s="1"/>
      <c r="O60" s="1"/>
      <c r="P60" s="75"/>
      <c r="Q60" s="76"/>
      <c r="R60" s="75"/>
      <c r="S60" s="99"/>
      <c r="T60" s="86"/>
      <c r="U60" s="76"/>
      <c r="V60" s="1"/>
      <c r="W60" s="1"/>
      <c r="X60" s="1"/>
      <c r="Y60" s="1">
        <f t="shared" ref="Y60:AH71" si="7">$AJ60/12</f>
        <v>0</v>
      </c>
      <c r="Z60" s="1">
        <f t="shared" si="7"/>
        <v>0</v>
      </c>
      <c r="AA60" s="1">
        <f t="shared" si="7"/>
        <v>0</v>
      </c>
      <c r="AB60" s="1">
        <f t="shared" si="7"/>
        <v>0</v>
      </c>
      <c r="AC60" s="1">
        <f t="shared" si="7"/>
        <v>0</v>
      </c>
      <c r="AD60" s="1">
        <f t="shared" si="7"/>
        <v>0</v>
      </c>
      <c r="AE60" s="1">
        <f t="shared" si="7"/>
        <v>0</v>
      </c>
      <c r="AF60" s="1">
        <f t="shared" si="7"/>
        <v>0</v>
      </c>
      <c r="AG60" s="1">
        <f t="shared" si="7"/>
        <v>0</v>
      </c>
      <c r="AH60" s="1">
        <f t="shared" si="7"/>
        <v>0</v>
      </c>
      <c r="AI60" s="1" t="e">
        <f>SUMIF(#REF!,"completed",Table42610[[#This Row],[Act Jan-25]:[Act Dec-25]])</f>
        <v>#REF!</v>
      </c>
      <c r="AJ60" s="1">
        <f>Table42610[[#This Row],[CF05 C-Hub PF]]</f>
        <v>0</v>
      </c>
      <c r="AK60" s="1" t="e">
        <f>SUM(Table42610[[#This Row],[Act Jan-25]:[Act Dec-25]])/COUNTIF(#REF!,"completed")*12</f>
        <v>#REF!</v>
      </c>
      <c r="AL60" s="1" t="e">
        <f>Table42610[[#This Row],[EAC (based on YTD actuals)]]-Table42610[[#This Row],[BAC (CF05 Plan)]]</f>
        <v>#REF!</v>
      </c>
      <c r="AM60" s="1"/>
    </row>
    <row r="61" spans="1:39">
      <c r="C61" t="s">
        <v>205</v>
      </c>
      <c r="J61" s="15"/>
      <c r="K61" s="15"/>
      <c r="N61" s="1"/>
      <c r="O61" s="1"/>
      <c r="P61" s="75"/>
      <c r="Q61" s="76"/>
      <c r="R61" s="75"/>
      <c r="S61" s="99"/>
      <c r="T61" s="86"/>
      <c r="U61" s="76"/>
      <c r="V61" s="1"/>
      <c r="W61" s="1"/>
      <c r="X61" s="1"/>
      <c r="Y61" s="1">
        <f t="shared" si="7"/>
        <v>0</v>
      </c>
      <c r="Z61" s="1">
        <f t="shared" si="7"/>
        <v>0</v>
      </c>
      <c r="AA61" s="1">
        <f t="shared" si="7"/>
        <v>0</v>
      </c>
      <c r="AB61" s="1">
        <f t="shared" si="7"/>
        <v>0</v>
      </c>
      <c r="AC61" s="1">
        <f t="shared" si="7"/>
        <v>0</v>
      </c>
      <c r="AD61" s="1">
        <f t="shared" si="7"/>
        <v>0</v>
      </c>
      <c r="AE61" s="1">
        <f t="shared" si="7"/>
        <v>0</v>
      </c>
      <c r="AF61" s="1">
        <f t="shared" si="7"/>
        <v>0</v>
      </c>
      <c r="AG61" s="1">
        <f t="shared" si="7"/>
        <v>0</v>
      </c>
      <c r="AH61" s="1">
        <f t="shared" si="7"/>
        <v>0</v>
      </c>
      <c r="AI61" s="1" t="e">
        <f>SUMIF(#REF!,"completed",Table42610[[#This Row],[Act Jan-25]:[Act Dec-25]])</f>
        <v>#REF!</v>
      </c>
      <c r="AJ61" s="1">
        <f>Table42610[[#This Row],[CF05 C-Hub PF]]</f>
        <v>0</v>
      </c>
      <c r="AK61" s="1" t="e">
        <f>SUM(Table42610[[#This Row],[Act Jan-25]:[Act Dec-25]])/COUNTIF(#REF!,"completed")*12</f>
        <v>#REF!</v>
      </c>
      <c r="AL61" s="1" t="e">
        <f>Table42610[[#This Row],[EAC (based on YTD actuals)]]-Table42610[[#This Row],[BAC (CF05 Plan)]]</f>
        <v>#REF!</v>
      </c>
      <c r="AM61" s="1"/>
    </row>
    <row r="62" spans="1:39">
      <c r="C62" t="s">
        <v>205</v>
      </c>
      <c r="J62" s="15"/>
      <c r="K62" s="15"/>
      <c r="N62" s="1"/>
      <c r="O62" s="1"/>
      <c r="P62" s="75"/>
      <c r="Q62" s="76"/>
      <c r="R62" s="75"/>
      <c r="S62" s="99"/>
      <c r="T62" s="86"/>
      <c r="U62" s="76"/>
      <c r="V62" s="1"/>
      <c r="W62" s="1"/>
      <c r="X62" s="1"/>
      <c r="Y62" s="1">
        <f t="shared" si="7"/>
        <v>0</v>
      </c>
      <c r="Z62" s="1">
        <f t="shared" si="7"/>
        <v>0</v>
      </c>
      <c r="AA62" s="1">
        <f t="shared" si="7"/>
        <v>0</v>
      </c>
      <c r="AB62" s="1">
        <f t="shared" si="7"/>
        <v>0</v>
      </c>
      <c r="AC62" s="1">
        <f t="shared" si="7"/>
        <v>0</v>
      </c>
      <c r="AD62" s="1">
        <f t="shared" si="7"/>
        <v>0</v>
      </c>
      <c r="AE62" s="1">
        <f t="shared" si="7"/>
        <v>0</v>
      </c>
      <c r="AF62" s="1">
        <f t="shared" si="7"/>
        <v>0</v>
      </c>
      <c r="AG62" s="1">
        <f t="shared" si="7"/>
        <v>0</v>
      </c>
      <c r="AH62" s="1">
        <f t="shared" si="7"/>
        <v>0</v>
      </c>
      <c r="AI62" s="1" t="e">
        <f>SUMIF(#REF!,"completed",Table42610[[#This Row],[Act Jan-25]:[Act Dec-25]])</f>
        <v>#REF!</v>
      </c>
      <c r="AJ62" s="1">
        <f>Table42610[[#This Row],[CF05 C-Hub PF]]</f>
        <v>0</v>
      </c>
      <c r="AK62" s="1" t="e">
        <f>SUM(Table42610[[#This Row],[Act Jan-25]:[Act Dec-25]])/COUNTIF(#REF!,"completed")*12</f>
        <v>#REF!</v>
      </c>
      <c r="AL62" s="1" t="e">
        <f>Table42610[[#This Row],[EAC (based on YTD actuals)]]-Table42610[[#This Row],[BAC (CF05 Plan)]]</f>
        <v>#REF!</v>
      </c>
      <c r="AM62" s="1"/>
    </row>
    <row r="63" spans="1:39">
      <c r="C63" t="s">
        <v>205</v>
      </c>
      <c r="J63" s="15"/>
      <c r="K63" s="15"/>
      <c r="N63" s="1"/>
      <c r="O63" s="1"/>
      <c r="P63" s="75"/>
      <c r="Q63" s="76"/>
      <c r="R63" s="75"/>
      <c r="S63" s="99"/>
      <c r="T63" s="86"/>
      <c r="U63" s="76"/>
      <c r="V63" s="1"/>
      <c r="W63" s="1"/>
      <c r="X63" s="1"/>
      <c r="Y63" s="1">
        <f t="shared" si="7"/>
        <v>0</v>
      </c>
      <c r="Z63" s="1">
        <f t="shared" si="7"/>
        <v>0</v>
      </c>
      <c r="AA63" s="1">
        <f t="shared" si="7"/>
        <v>0</v>
      </c>
      <c r="AB63" s="1">
        <f t="shared" si="7"/>
        <v>0</v>
      </c>
      <c r="AC63" s="1">
        <f t="shared" si="7"/>
        <v>0</v>
      </c>
      <c r="AD63" s="1">
        <f t="shared" si="7"/>
        <v>0</v>
      </c>
      <c r="AE63" s="1">
        <f t="shared" si="7"/>
        <v>0</v>
      </c>
      <c r="AF63" s="1">
        <f t="shared" si="7"/>
        <v>0</v>
      </c>
      <c r="AG63" s="1">
        <f t="shared" si="7"/>
        <v>0</v>
      </c>
      <c r="AH63" s="1">
        <f t="shared" si="7"/>
        <v>0</v>
      </c>
      <c r="AI63" s="1" t="e">
        <f>SUMIF(#REF!,"completed",Table42610[[#This Row],[Act Jan-25]:[Act Dec-25]])</f>
        <v>#REF!</v>
      </c>
      <c r="AJ63" s="1">
        <f>Table42610[[#This Row],[CF05 C-Hub PF]]</f>
        <v>0</v>
      </c>
      <c r="AK63" s="1" t="e">
        <f>SUM(Table42610[[#This Row],[Act Jan-25]:[Act Dec-25]])/COUNTIF(#REF!,"completed")*12</f>
        <v>#REF!</v>
      </c>
      <c r="AL63" s="1" t="e">
        <f>Table42610[[#This Row],[EAC (based on YTD actuals)]]-Table42610[[#This Row],[BAC (CF05 Plan)]]</f>
        <v>#REF!</v>
      </c>
      <c r="AM63" s="1"/>
    </row>
    <row r="64" spans="1:39">
      <c r="C64" t="s">
        <v>205</v>
      </c>
      <c r="J64" s="15"/>
      <c r="K64" s="15"/>
      <c r="N64" s="1"/>
      <c r="O64" s="1"/>
      <c r="P64" s="75"/>
      <c r="Q64" s="76"/>
      <c r="R64" s="75"/>
      <c r="S64" s="99"/>
      <c r="T64" s="86"/>
      <c r="U64" s="76"/>
      <c r="V64" s="1"/>
      <c r="W64" s="1"/>
      <c r="X64" s="1"/>
      <c r="Y64" s="1">
        <f t="shared" si="7"/>
        <v>0</v>
      </c>
      <c r="Z64" s="1">
        <f t="shared" si="7"/>
        <v>0</v>
      </c>
      <c r="AA64" s="1">
        <f t="shared" si="7"/>
        <v>0</v>
      </c>
      <c r="AB64" s="1">
        <f t="shared" si="7"/>
        <v>0</v>
      </c>
      <c r="AC64" s="1">
        <f t="shared" si="7"/>
        <v>0</v>
      </c>
      <c r="AD64" s="1">
        <f t="shared" si="7"/>
        <v>0</v>
      </c>
      <c r="AE64" s="1">
        <f t="shared" si="7"/>
        <v>0</v>
      </c>
      <c r="AF64" s="1">
        <f t="shared" si="7"/>
        <v>0</v>
      </c>
      <c r="AG64" s="1">
        <f t="shared" si="7"/>
        <v>0</v>
      </c>
      <c r="AH64" s="1">
        <f t="shared" si="7"/>
        <v>0</v>
      </c>
      <c r="AI64" s="1" t="e">
        <f>SUMIF(#REF!,"completed",Table42610[[#This Row],[Act Jan-25]:[Act Dec-25]])</f>
        <v>#REF!</v>
      </c>
      <c r="AJ64" s="1">
        <f>Table42610[[#This Row],[CF05 C-Hub PF]]</f>
        <v>0</v>
      </c>
      <c r="AK64" s="1" t="e">
        <f>SUM(Table42610[[#This Row],[Act Jan-25]:[Act Dec-25]])/COUNTIF(#REF!,"completed")*12</f>
        <v>#REF!</v>
      </c>
      <c r="AL64" s="1" t="e">
        <f>Table42610[[#This Row],[EAC (based on YTD actuals)]]-Table42610[[#This Row],[BAC (CF05 Plan)]]</f>
        <v>#REF!</v>
      </c>
      <c r="AM64" s="1"/>
    </row>
    <row r="65" spans="1:39">
      <c r="C65" t="s">
        <v>205</v>
      </c>
      <c r="J65" s="15"/>
      <c r="K65" s="15"/>
      <c r="N65" s="1"/>
      <c r="O65" s="1"/>
      <c r="P65" s="75"/>
      <c r="Q65" s="76"/>
      <c r="R65" s="75"/>
      <c r="S65" s="99"/>
      <c r="T65" s="86"/>
      <c r="U65" s="76"/>
      <c r="V65" s="1"/>
      <c r="W65" s="1"/>
      <c r="X65" s="1"/>
      <c r="Y65" s="1">
        <f t="shared" si="7"/>
        <v>0</v>
      </c>
      <c r="Z65" s="1">
        <f t="shared" si="7"/>
        <v>0</v>
      </c>
      <c r="AA65" s="1">
        <f t="shared" si="7"/>
        <v>0</v>
      </c>
      <c r="AB65" s="1">
        <f t="shared" si="7"/>
        <v>0</v>
      </c>
      <c r="AC65" s="1">
        <f t="shared" si="7"/>
        <v>0</v>
      </c>
      <c r="AD65" s="1">
        <f t="shared" si="7"/>
        <v>0</v>
      </c>
      <c r="AE65" s="1">
        <f t="shared" si="7"/>
        <v>0</v>
      </c>
      <c r="AF65" s="1">
        <f t="shared" si="7"/>
        <v>0</v>
      </c>
      <c r="AG65" s="1">
        <f t="shared" si="7"/>
        <v>0</v>
      </c>
      <c r="AH65" s="1">
        <f t="shared" si="7"/>
        <v>0</v>
      </c>
      <c r="AI65" s="1" t="e">
        <f>SUMIF(#REF!,"completed",Table42610[[#This Row],[Act Jan-25]:[Act Dec-25]])</f>
        <v>#REF!</v>
      </c>
      <c r="AJ65" s="1">
        <f>Table42610[[#This Row],[CF05 C-Hub PF]]</f>
        <v>0</v>
      </c>
      <c r="AK65" s="1" t="e">
        <f>SUM(Table42610[[#This Row],[Act Jan-25]:[Act Dec-25]])/COUNTIF(#REF!,"completed")*12</f>
        <v>#REF!</v>
      </c>
      <c r="AL65" s="1" t="e">
        <f>Table42610[[#This Row],[EAC (based on YTD actuals)]]-Table42610[[#This Row],[BAC (CF05 Plan)]]</f>
        <v>#REF!</v>
      </c>
      <c r="AM65" s="1"/>
    </row>
    <row r="66" spans="1:39">
      <c r="C66" t="s">
        <v>205</v>
      </c>
      <c r="J66" s="15"/>
      <c r="K66" s="15"/>
      <c r="N66" s="1"/>
      <c r="O66" s="1"/>
      <c r="P66" s="75"/>
      <c r="Q66" s="76"/>
      <c r="R66" s="75"/>
      <c r="S66" s="99"/>
      <c r="T66" s="86"/>
      <c r="U66" s="76"/>
      <c r="V66" s="1"/>
      <c r="W66" s="1"/>
      <c r="X66" s="1"/>
      <c r="Y66" s="1">
        <f t="shared" si="7"/>
        <v>0</v>
      </c>
      <c r="Z66" s="1">
        <f t="shared" si="7"/>
        <v>0</v>
      </c>
      <c r="AA66" s="1">
        <f t="shared" si="7"/>
        <v>0</v>
      </c>
      <c r="AB66" s="1">
        <f t="shared" si="7"/>
        <v>0</v>
      </c>
      <c r="AC66" s="1">
        <f t="shared" si="7"/>
        <v>0</v>
      </c>
      <c r="AD66" s="1">
        <f t="shared" si="7"/>
        <v>0</v>
      </c>
      <c r="AE66" s="1">
        <f t="shared" si="7"/>
        <v>0</v>
      </c>
      <c r="AF66" s="1">
        <f t="shared" si="7"/>
        <v>0</v>
      </c>
      <c r="AG66" s="1">
        <f t="shared" si="7"/>
        <v>0</v>
      </c>
      <c r="AH66" s="1">
        <f t="shared" si="7"/>
        <v>0</v>
      </c>
      <c r="AI66" s="1" t="e">
        <f>SUMIF(#REF!,"completed",Table42610[[#This Row],[Act Jan-25]:[Act Dec-25]])</f>
        <v>#REF!</v>
      </c>
      <c r="AJ66" s="1">
        <f>Table42610[[#This Row],[CF05 C-Hub PF]]</f>
        <v>0</v>
      </c>
      <c r="AK66" s="1" t="e">
        <f>SUM(Table42610[[#This Row],[Act Jan-25]:[Act Dec-25]])/COUNTIF(#REF!,"completed")*12</f>
        <v>#REF!</v>
      </c>
      <c r="AL66" s="1" t="e">
        <f>Table42610[[#This Row],[EAC (based on YTD actuals)]]-Table42610[[#This Row],[BAC (CF05 Plan)]]</f>
        <v>#REF!</v>
      </c>
      <c r="AM66" s="1"/>
    </row>
    <row r="67" spans="1:39">
      <c r="C67" t="s">
        <v>205</v>
      </c>
      <c r="J67" s="15"/>
      <c r="K67" s="15"/>
      <c r="N67" s="1"/>
      <c r="O67" s="1"/>
      <c r="P67" s="75"/>
      <c r="Q67" s="76"/>
      <c r="R67" s="75"/>
      <c r="S67" s="99"/>
      <c r="T67" s="86"/>
      <c r="U67" s="76"/>
      <c r="V67" s="1"/>
      <c r="W67" s="1"/>
      <c r="X67" s="1"/>
      <c r="Y67" s="1">
        <f t="shared" si="7"/>
        <v>0</v>
      </c>
      <c r="Z67" s="1">
        <f t="shared" si="7"/>
        <v>0</v>
      </c>
      <c r="AA67" s="1">
        <f t="shared" si="7"/>
        <v>0</v>
      </c>
      <c r="AB67" s="1">
        <f t="shared" si="7"/>
        <v>0</v>
      </c>
      <c r="AC67" s="1">
        <f t="shared" si="7"/>
        <v>0</v>
      </c>
      <c r="AD67" s="1">
        <f t="shared" si="7"/>
        <v>0</v>
      </c>
      <c r="AE67" s="1">
        <f t="shared" si="7"/>
        <v>0</v>
      </c>
      <c r="AF67" s="1">
        <f t="shared" si="7"/>
        <v>0</v>
      </c>
      <c r="AG67" s="1">
        <f t="shared" si="7"/>
        <v>0</v>
      </c>
      <c r="AH67" s="1">
        <f t="shared" si="7"/>
        <v>0</v>
      </c>
      <c r="AI67" s="1" t="e">
        <f>SUMIF(#REF!,"completed",Table42610[[#This Row],[Act Jan-25]:[Act Dec-25]])</f>
        <v>#REF!</v>
      </c>
      <c r="AJ67" s="1">
        <f>Table42610[[#This Row],[CF05 C-Hub PF]]</f>
        <v>0</v>
      </c>
      <c r="AK67" s="1" t="e">
        <f>SUM(Table42610[[#This Row],[Act Jan-25]:[Act Dec-25]])/COUNTIF(#REF!,"completed")*12</f>
        <v>#REF!</v>
      </c>
      <c r="AL67" s="1" t="e">
        <f>Table42610[[#This Row],[EAC (based on YTD actuals)]]-Table42610[[#This Row],[BAC (CF05 Plan)]]</f>
        <v>#REF!</v>
      </c>
      <c r="AM67" s="1"/>
    </row>
    <row r="68" spans="1:39">
      <c r="C68" t="s">
        <v>205</v>
      </c>
      <c r="J68" s="15"/>
      <c r="K68" s="15"/>
      <c r="N68" s="1"/>
      <c r="O68" s="1"/>
      <c r="P68" s="75"/>
      <c r="Q68" s="76"/>
      <c r="R68" s="75"/>
      <c r="S68" s="99"/>
      <c r="T68" s="86"/>
      <c r="U68" s="76"/>
      <c r="V68" s="1"/>
      <c r="W68" s="1"/>
      <c r="X68" s="1"/>
      <c r="Y68" s="1">
        <f t="shared" si="7"/>
        <v>0</v>
      </c>
      <c r="Z68" s="1">
        <f t="shared" si="7"/>
        <v>0</v>
      </c>
      <c r="AA68" s="1">
        <f t="shared" si="7"/>
        <v>0</v>
      </c>
      <c r="AB68" s="1">
        <f t="shared" si="7"/>
        <v>0</v>
      </c>
      <c r="AC68" s="1">
        <f t="shared" si="7"/>
        <v>0</v>
      </c>
      <c r="AD68" s="1">
        <f t="shared" si="7"/>
        <v>0</v>
      </c>
      <c r="AE68" s="1">
        <f t="shared" si="7"/>
        <v>0</v>
      </c>
      <c r="AF68" s="1">
        <f t="shared" si="7"/>
        <v>0</v>
      </c>
      <c r="AG68" s="1">
        <f t="shared" si="7"/>
        <v>0</v>
      </c>
      <c r="AH68" s="1">
        <f t="shared" si="7"/>
        <v>0</v>
      </c>
      <c r="AI68" s="1" t="e">
        <f>SUMIF(#REF!,"completed",Table42610[[#This Row],[Act Jan-25]:[Act Dec-25]])</f>
        <v>#REF!</v>
      </c>
      <c r="AJ68" s="1">
        <f>Table42610[[#This Row],[CF05 C-Hub PF]]</f>
        <v>0</v>
      </c>
      <c r="AK68" s="1" t="e">
        <f>SUM(Table42610[[#This Row],[Act Jan-25]:[Act Dec-25]])/COUNTIF(#REF!,"completed")*12</f>
        <v>#REF!</v>
      </c>
      <c r="AL68" s="1" t="e">
        <f>Table42610[[#This Row],[EAC (based on YTD actuals)]]-Table42610[[#This Row],[BAC (CF05 Plan)]]</f>
        <v>#REF!</v>
      </c>
      <c r="AM68" s="1"/>
    </row>
    <row r="69" spans="1:39">
      <c r="C69" t="s">
        <v>205</v>
      </c>
      <c r="J69" s="15"/>
      <c r="K69" s="15"/>
      <c r="N69" s="1"/>
      <c r="O69" s="1"/>
      <c r="P69" s="75"/>
      <c r="Q69" s="76"/>
      <c r="R69" s="75"/>
      <c r="S69" s="99"/>
      <c r="T69" s="86"/>
      <c r="U69" s="76"/>
      <c r="V69" s="1"/>
      <c r="W69" s="1"/>
      <c r="X69" s="1"/>
      <c r="Y69" s="1">
        <f t="shared" si="7"/>
        <v>0</v>
      </c>
      <c r="Z69" s="1">
        <f t="shared" si="7"/>
        <v>0</v>
      </c>
      <c r="AA69" s="1">
        <f t="shared" si="7"/>
        <v>0</v>
      </c>
      <c r="AB69" s="1">
        <f t="shared" si="7"/>
        <v>0</v>
      </c>
      <c r="AC69" s="1">
        <f t="shared" si="7"/>
        <v>0</v>
      </c>
      <c r="AD69" s="1">
        <f t="shared" si="7"/>
        <v>0</v>
      </c>
      <c r="AE69" s="1">
        <f t="shared" si="7"/>
        <v>0</v>
      </c>
      <c r="AF69" s="1">
        <f t="shared" si="7"/>
        <v>0</v>
      </c>
      <c r="AG69" s="1">
        <f t="shared" si="7"/>
        <v>0</v>
      </c>
      <c r="AH69" s="1">
        <f t="shared" si="7"/>
        <v>0</v>
      </c>
      <c r="AI69" s="1" t="e">
        <f>SUMIF(#REF!,"completed",Table42610[[#This Row],[Act Jan-25]:[Act Dec-25]])</f>
        <v>#REF!</v>
      </c>
      <c r="AJ69" s="1">
        <f>Table42610[[#This Row],[CF05 C-Hub PF]]</f>
        <v>0</v>
      </c>
      <c r="AK69" s="1" t="e">
        <f>SUM(Table42610[[#This Row],[Act Jan-25]:[Act Dec-25]])/COUNTIF(#REF!,"completed")*12</f>
        <v>#REF!</v>
      </c>
      <c r="AL69" s="1" t="e">
        <f>Table42610[[#This Row],[EAC (based on YTD actuals)]]-Table42610[[#This Row],[BAC (CF05 Plan)]]</f>
        <v>#REF!</v>
      </c>
      <c r="AM69" s="1"/>
    </row>
    <row r="70" spans="1:39">
      <c r="C70" t="s">
        <v>205</v>
      </c>
      <c r="J70" s="15"/>
      <c r="K70" s="15"/>
      <c r="N70" s="1"/>
      <c r="O70" s="1"/>
      <c r="P70" s="75"/>
      <c r="Q70" s="76"/>
      <c r="R70" s="75"/>
      <c r="S70" s="99"/>
      <c r="T70" s="86"/>
      <c r="U70" s="76"/>
      <c r="V70" s="1"/>
      <c r="W70" s="1"/>
      <c r="X70" s="1"/>
      <c r="Y70" s="1">
        <f t="shared" si="7"/>
        <v>0</v>
      </c>
      <c r="Z70" s="1">
        <f t="shared" si="7"/>
        <v>0</v>
      </c>
      <c r="AA70" s="1">
        <f t="shared" si="7"/>
        <v>0</v>
      </c>
      <c r="AB70" s="1">
        <f t="shared" si="7"/>
        <v>0</v>
      </c>
      <c r="AC70" s="1">
        <f t="shared" si="7"/>
        <v>0</v>
      </c>
      <c r="AD70" s="1">
        <f t="shared" si="7"/>
        <v>0</v>
      </c>
      <c r="AE70" s="1">
        <f t="shared" si="7"/>
        <v>0</v>
      </c>
      <c r="AF70" s="1">
        <f t="shared" si="7"/>
        <v>0</v>
      </c>
      <c r="AG70" s="1">
        <f t="shared" si="7"/>
        <v>0</v>
      </c>
      <c r="AH70" s="1">
        <f t="shared" si="7"/>
        <v>0</v>
      </c>
      <c r="AI70" s="1" t="e">
        <f>SUMIF(#REF!,"completed",Table42610[[#This Row],[Act Jan-25]:[Act Dec-25]])</f>
        <v>#REF!</v>
      </c>
      <c r="AJ70" s="1">
        <f>Table42610[[#This Row],[CF05 C-Hub PF]]</f>
        <v>0</v>
      </c>
      <c r="AK70" s="1" t="e">
        <f>SUM(Table42610[[#This Row],[Act Jan-25]:[Act Dec-25]])/COUNTIF(#REF!,"completed")*12</f>
        <v>#REF!</v>
      </c>
      <c r="AL70" s="1" t="e">
        <f>Table42610[[#This Row],[EAC (based on YTD actuals)]]-Table42610[[#This Row],[BAC (CF05 Plan)]]</f>
        <v>#REF!</v>
      </c>
      <c r="AM70" s="1"/>
    </row>
    <row r="71" spans="1:39">
      <c r="C71" t="s">
        <v>205</v>
      </c>
      <c r="J71" s="15"/>
      <c r="K71" s="15"/>
      <c r="N71" s="1"/>
      <c r="O71" s="1"/>
      <c r="P71" s="75"/>
      <c r="Q71" s="76"/>
      <c r="R71" s="75"/>
      <c r="S71" s="99"/>
      <c r="T71" s="86"/>
      <c r="U71" s="76"/>
      <c r="V71" s="1"/>
      <c r="W71" s="1"/>
      <c r="X71" s="1"/>
      <c r="Y71" s="1">
        <f t="shared" si="7"/>
        <v>0</v>
      </c>
      <c r="Z71" s="1">
        <f t="shared" si="7"/>
        <v>0</v>
      </c>
      <c r="AA71" s="1">
        <f t="shared" si="7"/>
        <v>0</v>
      </c>
      <c r="AB71" s="1">
        <f t="shared" si="7"/>
        <v>0</v>
      </c>
      <c r="AC71" s="1">
        <f t="shared" si="7"/>
        <v>0</v>
      </c>
      <c r="AD71" s="1">
        <f t="shared" si="7"/>
        <v>0</v>
      </c>
      <c r="AE71" s="1">
        <f t="shared" si="7"/>
        <v>0</v>
      </c>
      <c r="AF71" s="1">
        <f t="shared" si="7"/>
        <v>0</v>
      </c>
      <c r="AG71" s="1">
        <f t="shared" si="7"/>
        <v>0</v>
      </c>
      <c r="AH71" s="1">
        <f t="shared" si="7"/>
        <v>0</v>
      </c>
      <c r="AI71" s="1" t="e">
        <f>SUMIF(#REF!,"completed",Table42610[[#This Row],[Act Jan-25]:[Act Dec-25]])</f>
        <v>#REF!</v>
      </c>
      <c r="AJ71" s="1">
        <f>Table42610[[#This Row],[CF05 C-Hub PF]]</f>
        <v>0</v>
      </c>
      <c r="AK71" s="1" t="e">
        <f>SUM(Table42610[[#This Row],[Act Jan-25]:[Act Dec-25]])/COUNTIF(#REF!,"completed")*12</f>
        <v>#REF!</v>
      </c>
      <c r="AL71" s="1" t="e">
        <f>Table42610[[#This Row],[EAC (based on YTD actuals)]]-Table42610[[#This Row],[BAC (CF05 Plan)]]</f>
        <v>#REF!</v>
      </c>
      <c r="AM71" s="1"/>
    </row>
    <row r="72" spans="1:39">
      <c r="A72" t="s">
        <v>206</v>
      </c>
      <c r="J72" s="1"/>
      <c r="K72" s="1"/>
      <c r="O72" s="1"/>
      <c r="P72" s="81">
        <f>SUBTOTAL(9,Table42610[C-Hub PF])</f>
        <v>5492624.6503595505</v>
      </c>
      <c r="Q72" s="84">
        <f>SUBTOTAL(9,Table42610[C-Hub Cust Ext])</f>
        <v>1981950.9497101449</v>
      </c>
      <c r="R72" s="81" t="e">
        <f>SUBTOTAL(9,Table42610[CF02 C-Hub PF])</f>
        <v>#REF!</v>
      </c>
      <c r="S72" s="84" t="e">
        <f>SUBTOTAL(9,Table42610[CF02 C-Hub Cust Ext])</f>
        <v>#REF!</v>
      </c>
      <c r="T72" s="81">
        <f>SUBTOTAL(109,Table42610[CF05 C-Hub PF])</f>
        <v>4885188.7182652866</v>
      </c>
      <c r="U72" s="82">
        <f>SUBTOTAL(109,Table42610[CF05 C-Hub Cust Ext])</f>
        <v>2070962.4221181346</v>
      </c>
      <c r="W72" s="1">
        <f>SUBTOTAL(109,Table42610[Act Jan-25])</f>
        <v>216492.30074599996</v>
      </c>
      <c r="X72" s="1">
        <f>SUBTOTAL(109,Table42610[Act Feb-25])</f>
        <v>301641.02468553797</v>
      </c>
      <c r="Y72" s="1">
        <f>SUBTOTAL(109,Table42610[Act Mar-25])</f>
        <v>817488.52524931775</v>
      </c>
      <c r="Z72" s="1">
        <f>SUBTOTAL(109,Table42610[Act Apr-25])</f>
        <v>496490.50015414541</v>
      </c>
      <c r="AA72" s="1">
        <f>SUBTOTAL(109,Table42610[Act May-25])</f>
        <v>496490.50015414541</v>
      </c>
      <c r="AB72" s="1">
        <f>SUBTOTAL(109,Table42610[Act Jun-25])</f>
        <v>496490.50015414541</v>
      </c>
      <c r="AC72" s="1">
        <f>SUBTOTAL(109,Table42610[Act Jul-25])</f>
        <v>496490.50015414541</v>
      </c>
      <c r="AD72" s="1">
        <f>SUBTOTAL(109,Table42610[Act Aug-25])</f>
        <v>496490.50015414541</v>
      </c>
      <c r="AE72" s="1">
        <f>SUBTOTAL(109,Table42610[Act Sep-25])</f>
        <v>496490.50015414541</v>
      </c>
      <c r="AF72" s="1">
        <f>SUBTOTAL(109,Table42610[Act Oct-25])</f>
        <v>496490.50015414541</v>
      </c>
      <c r="AG72" s="1">
        <f>SUBTOTAL(109,Table42610[Act Nov-25])</f>
        <v>496490.50015414541</v>
      </c>
      <c r="AH72" s="1">
        <f>SUBTOTAL(109,Table42610[Act Dec-25])</f>
        <v>458028.50015414541</v>
      </c>
      <c r="AI72" s="1" t="e">
        <f>SUBTOTAL(109,Table42610[YTD Actuals 2025])</f>
        <v>#REF!</v>
      </c>
      <c r="AJ72" s="1">
        <f>SUBTOTAL(109,Table42610[BAC (CF05 Plan)])</f>
        <v>4885188.7182652866</v>
      </c>
      <c r="AK72" s="1" t="e">
        <f>SUBTOTAL(109,Table42610[EAC (based on YTD actuals)])</f>
        <v>#REF!</v>
      </c>
      <c r="AL72" s="1" t="e">
        <f>SUBTOTAL(109,Table42610[Gap])</f>
        <v>#REF!</v>
      </c>
    </row>
    <row r="73" spans="1:39">
      <c r="P73" s="1"/>
      <c r="Q73" s="1"/>
      <c r="R73" s="1">
        <v>5420000</v>
      </c>
      <c r="S73" s="1"/>
      <c r="T73" s="1"/>
      <c r="U73" s="1"/>
    </row>
    <row r="74" spans="1:39">
      <c r="P74" s="1"/>
      <c r="R74" s="1" t="e">
        <f>R73-Table42610[[#Totals],[CF02 C-Hub PF]]</f>
        <v>#REF!</v>
      </c>
      <c r="T74" s="1">
        <f>U33-S33</f>
        <v>56009.950251126196</v>
      </c>
      <c r="V74" s="1"/>
    </row>
    <row r="75" spans="1:39">
      <c r="Y75" s="1"/>
    </row>
    <row r="76" spans="1:39">
      <c r="O76" s="2"/>
      <c r="R76" s="27"/>
      <c r="S76" s="27"/>
      <c r="T76" s="27"/>
      <c r="U76" s="27"/>
      <c r="Y76" s="1"/>
    </row>
    <row r="77" spans="1:39">
      <c r="A77" t="s">
        <v>345</v>
      </c>
      <c r="R77" s="27"/>
      <c r="S77" s="27"/>
      <c r="T77" s="27"/>
      <c r="U77" s="27"/>
      <c r="Y77" s="1"/>
    </row>
    <row r="78" spans="1:39">
      <c r="E78" t="s">
        <v>346</v>
      </c>
      <c r="F78" t="s">
        <v>347</v>
      </c>
      <c r="M78" s="61">
        <v>1500</v>
      </c>
      <c r="N78" s="42">
        <v>80</v>
      </c>
      <c r="O78" s="42"/>
      <c r="P78" s="27"/>
      <c r="Q78" s="27"/>
      <c r="R78" s="27"/>
      <c r="S78" s="27"/>
      <c r="T78" s="27"/>
      <c r="U78" s="27"/>
      <c r="Y78" s="1"/>
    </row>
    <row r="79" spans="1:39">
      <c r="E79" t="s">
        <v>348</v>
      </c>
      <c r="F79" t="s">
        <v>347</v>
      </c>
      <c r="M79">
        <v>1496</v>
      </c>
      <c r="N79" s="42">
        <v>150</v>
      </c>
      <c r="P79" s="27"/>
      <c r="Q79" s="27"/>
      <c r="R79" s="27"/>
      <c r="S79" s="27"/>
      <c r="T79" s="27"/>
      <c r="U79" s="27"/>
    </row>
    <row r="80" spans="1:39">
      <c r="E80" t="s">
        <v>349</v>
      </c>
      <c r="F80" t="s">
        <v>347</v>
      </c>
      <c r="M80">
        <v>1496</v>
      </c>
      <c r="N80" s="42">
        <v>120</v>
      </c>
      <c r="P80" s="27"/>
      <c r="Q80" s="27"/>
      <c r="R80" s="27"/>
      <c r="S80" s="27"/>
      <c r="T80" s="27"/>
      <c r="U80" s="27"/>
    </row>
    <row r="81" spans="16:21">
      <c r="P81" s="27">
        <v>222</v>
      </c>
      <c r="Q81" s="27"/>
      <c r="R81" s="27"/>
      <c r="S81" s="27"/>
      <c r="T81" s="27"/>
      <c r="U81" s="27"/>
    </row>
    <row r="82" spans="16:21">
      <c r="P82" s="27">
        <v>166</v>
      </c>
      <c r="Q82" s="27"/>
      <c r="R82" s="27"/>
      <c r="S82" s="27"/>
      <c r="T82" s="27"/>
      <c r="U82" s="27"/>
    </row>
    <row r="83" spans="16:21">
      <c r="P83" s="27">
        <v>166</v>
      </c>
      <c r="Q83" s="27"/>
      <c r="R83" s="27"/>
      <c r="S83" s="27"/>
      <c r="T83" s="27"/>
      <c r="U83" s="27"/>
    </row>
    <row r="84" spans="16:21">
      <c r="P84" s="27"/>
      <c r="Q84" s="27"/>
      <c r="R84" s="27"/>
      <c r="S84" s="27"/>
      <c r="T84" s="27"/>
      <c r="U84" s="27"/>
    </row>
    <row r="85" spans="16:21">
      <c r="P85" s="27">
        <v>180</v>
      </c>
      <c r="Q85" s="27"/>
      <c r="R85" s="27"/>
      <c r="S85" s="27"/>
      <c r="T85" s="27"/>
      <c r="U85" s="27"/>
    </row>
    <row r="86" spans="16:21">
      <c r="P86" s="27">
        <v>525</v>
      </c>
      <c r="Q86" s="27"/>
      <c r="R86" s="27"/>
      <c r="S86" s="27"/>
      <c r="T86" s="27"/>
      <c r="U86" s="27"/>
    </row>
    <row r="87" spans="16:21">
      <c r="P87" s="27">
        <v>119</v>
      </c>
      <c r="Q87" s="27"/>
      <c r="R87" s="27"/>
      <c r="S87" s="27"/>
      <c r="T87" s="27"/>
      <c r="U87" s="27"/>
    </row>
    <row r="88" spans="16:21">
      <c r="P88" s="27"/>
      <c r="Q88" s="27"/>
    </row>
    <row r="89" spans="16:21">
      <c r="P89" s="27"/>
      <c r="Q89" s="27"/>
      <c r="R89" s="25"/>
      <c r="S89" s="25"/>
      <c r="T89" s="25"/>
      <c r="U89" s="25"/>
    </row>
    <row r="90" spans="16:21">
      <c r="P90" s="2"/>
      <c r="Q90" s="2"/>
    </row>
    <row r="91" spans="16:21">
      <c r="P91" s="25"/>
      <c r="Q91" s="26"/>
    </row>
  </sheetData>
  <sheetProtection formatCells="0" formatColumns="0" formatRows="0" insertColumns="0" insertRows="0" insertHyperlinks="0" deleteColumns="0" deleteRows="0" autoFilter="0" pivotTables="0"/>
  <phoneticPr fontId="8" type="noConversion"/>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348D0-9D09-40F0-A8AD-45A0E4F1E0A5}">
  <dimension ref="A1:P231"/>
  <sheetViews>
    <sheetView zoomScale="85" zoomScaleNormal="85" workbookViewId="0">
      <selection activeCell="F30" sqref="F30"/>
    </sheetView>
  </sheetViews>
  <sheetFormatPr defaultColWidth="9.109375" defaultRowHeight="14.4"/>
  <cols>
    <col min="1" max="1" width="5.6640625" customWidth="1"/>
    <col min="2" max="2" width="70.5546875" bestFit="1" customWidth="1"/>
    <col min="3" max="3" width="18" customWidth="1"/>
    <col min="4" max="4" width="29.44140625" customWidth="1"/>
    <col min="5" max="5" width="26" customWidth="1"/>
    <col min="6" max="6" width="63.5546875" customWidth="1"/>
    <col min="7" max="7" width="24.33203125" customWidth="1"/>
    <col min="8" max="8" width="36.109375" customWidth="1"/>
    <col min="9" max="9" width="43.5546875" hidden="1" customWidth="1"/>
    <col min="10" max="10" width="17.33203125" customWidth="1"/>
    <col min="11" max="11" width="20.6640625" bestFit="1" customWidth="1"/>
    <col min="12" max="12" width="23.33203125" customWidth="1"/>
    <col min="13" max="13" width="43.33203125" customWidth="1"/>
    <col min="14" max="15" width="66.5546875" bestFit="1" customWidth="1"/>
    <col min="16" max="16" width="67.109375" bestFit="1" customWidth="1"/>
    <col min="17" max="17" width="34.6640625" bestFit="1" customWidth="1"/>
    <col min="18" max="18" width="28.109375" bestFit="1" customWidth="1"/>
    <col min="19" max="19" width="27.44140625" bestFit="1" customWidth="1"/>
    <col min="20" max="22" width="43.33203125" customWidth="1"/>
  </cols>
  <sheetData>
    <row r="1" spans="1:16" ht="30.75" customHeight="1">
      <c r="A1" t="s">
        <v>207</v>
      </c>
      <c r="B1" t="s">
        <v>208</v>
      </c>
      <c r="C1" t="s">
        <v>209</v>
      </c>
      <c r="D1" s="5" t="s">
        <v>210</v>
      </c>
      <c r="E1" s="5" t="s">
        <v>211</v>
      </c>
      <c r="F1" t="s">
        <v>212</v>
      </c>
      <c r="G1" t="s">
        <v>213</v>
      </c>
      <c r="H1" t="s">
        <v>214</v>
      </c>
      <c r="I1" t="s">
        <v>37</v>
      </c>
      <c r="J1" t="s">
        <v>215</v>
      </c>
      <c r="K1" t="s">
        <v>216</v>
      </c>
      <c r="L1" t="s">
        <v>217</v>
      </c>
      <c r="M1" t="s">
        <v>218</v>
      </c>
      <c r="O1" t="s">
        <v>219</v>
      </c>
    </row>
    <row r="2" spans="1:16">
      <c r="A2">
        <v>1</v>
      </c>
      <c r="B2" t="s">
        <v>220</v>
      </c>
      <c r="C2" s="73">
        <v>2080</v>
      </c>
      <c r="F2">
        <f>C2-D2-E2</f>
        <v>2080</v>
      </c>
      <c r="G2" t="s">
        <v>221</v>
      </c>
      <c r="H2" t="s">
        <v>222</v>
      </c>
      <c r="O2" t="s">
        <v>52</v>
      </c>
      <c r="P2">
        <v>250</v>
      </c>
    </row>
    <row r="3" spans="1:16">
      <c r="A3">
        <v>2</v>
      </c>
      <c r="B3" t="s">
        <v>223</v>
      </c>
      <c r="C3">
        <v>840</v>
      </c>
      <c r="D3" s="73">
        <v>420</v>
      </c>
      <c r="F3">
        <f t="shared" ref="F3:F22" si="0">C3-D3-E3</f>
        <v>420</v>
      </c>
      <c r="G3" t="s">
        <v>224</v>
      </c>
      <c r="H3" t="s">
        <v>225</v>
      </c>
      <c r="J3" t="s">
        <v>226</v>
      </c>
      <c r="O3" t="s">
        <v>58</v>
      </c>
      <c r="P3">
        <v>68</v>
      </c>
    </row>
    <row r="4" spans="1:16">
      <c r="A4">
        <v>3</v>
      </c>
      <c r="B4" t="s">
        <v>227</v>
      </c>
      <c r="C4">
        <v>400</v>
      </c>
      <c r="F4">
        <f t="shared" si="0"/>
        <v>400</v>
      </c>
      <c r="G4" t="s">
        <v>224</v>
      </c>
      <c r="O4" t="s">
        <v>84</v>
      </c>
      <c r="P4">
        <v>423</v>
      </c>
    </row>
    <row r="5" spans="1:16">
      <c r="A5">
        <v>4</v>
      </c>
      <c r="B5" t="s">
        <v>228</v>
      </c>
      <c r="C5">
        <v>330</v>
      </c>
      <c r="F5">
        <f t="shared" si="0"/>
        <v>330</v>
      </c>
      <c r="G5" t="s">
        <v>224</v>
      </c>
      <c r="L5">
        <v>96</v>
      </c>
      <c r="M5" t="s">
        <v>229</v>
      </c>
      <c r="O5" t="s">
        <v>97</v>
      </c>
      <c r="P5">
        <v>78</v>
      </c>
    </row>
    <row r="6" spans="1:16" hidden="1">
      <c r="A6">
        <v>5</v>
      </c>
      <c r="B6" t="s">
        <v>230</v>
      </c>
      <c r="C6">
        <v>300</v>
      </c>
      <c r="F6">
        <f t="shared" si="0"/>
        <v>300</v>
      </c>
      <c r="G6" t="s">
        <v>231</v>
      </c>
      <c r="I6" t="s">
        <v>232</v>
      </c>
      <c r="L6">
        <v>300</v>
      </c>
      <c r="M6" t="s">
        <v>233</v>
      </c>
      <c r="O6" t="s">
        <v>107</v>
      </c>
      <c r="P6">
        <v>100</v>
      </c>
    </row>
    <row r="7" spans="1:16">
      <c r="A7">
        <v>6</v>
      </c>
      <c r="B7" t="s">
        <v>234</v>
      </c>
      <c r="C7">
        <v>230</v>
      </c>
      <c r="F7">
        <f t="shared" si="0"/>
        <v>230</v>
      </c>
      <c r="G7" t="s">
        <v>221</v>
      </c>
      <c r="H7" t="s">
        <v>235</v>
      </c>
      <c r="I7" t="s">
        <v>232</v>
      </c>
      <c r="O7" t="s">
        <v>113</v>
      </c>
      <c r="P7">
        <v>100</v>
      </c>
    </row>
    <row r="8" spans="1:16">
      <c r="A8">
        <v>7</v>
      </c>
      <c r="B8" t="s">
        <v>236</v>
      </c>
      <c r="C8">
        <v>50</v>
      </c>
      <c r="D8" s="73">
        <v>50</v>
      </c>
      <c r="F8">
        <f t="shared" si="0"/>
        <v>0</v>
      </c>
      <c r="G8" t="s">
        <v>221</v>
      </c>
      <c r="H8" t="s">
        <v>235</v>
      </c>
      <c r="I8" t="s">
        <v>232</v>
      </c>
      <c r="O8" t="s">
        <v>115</v>
      </c>
      <c r="P8">
        <v>41</v>
      </c>
    </row>
    <row r="9" spans="1:16">
      <c r="A9">
        <v>8</v>
      </c>
      <c r="B9" t="s">
        <v>237</v>
      </c>
      <c r="C9">
        <v>100</v>
      </c>
      <c r="F9">
        <f t="shared" si="0"/>
        <v>100</v>
      </c>
      <c r="G9" t="s">
        <v>221</v>
      </c>
      <c r="H9" t="s">
        <v>238</v>
      </c>
      <c r="I9" t="s">
        <v>232</v>
      </c>
      <c r="O9" t="s">
        <v>151</v>
      </c>
      <c r="P9">
        <v>287</v>
      </c>
    </row>
    <row r="10" spans="1:16" hidden="1">
      <c r="A10">
        <v>9</v>
      </c>
      <c r="B10" t="s">
        <v>239</v>
      </c>
      <c r="C10">
        <v>66</v>
      </c>
      <c r="E10" s="46">
        <v>66</v>
      </c>
      <c r="F10">
        <f t="shared" si="0"/>
        <v>0</v>
      </c>
      <c r="G10" t="s">
        <v>240</v>
      </c>
      <c r="H10" t="s">
        <v>235</v>
      </c>
      <c r="I10" t="s">
        <v>232</v>
      </c>
      <c r="K10" t="s">
        <v>241</v>
      </c>
      <c r="L10" s="56"/>
      <c r="M10" s="56"/>
      <c r="O10" t="s">
        <v>157</v>
      </c>
      <c r="P10">
        <v>113</v>
      </c>
    </row>
    <row r="11" spans="1:16" hidden="1">
      <c r="A11">
        <v>10</v>
      </c>
      <c r="B11" t="s">
        <v>242</v>
      </c>
      <c r="C11">
        <v>40</v>
      </c>
      <c r="E11" s="46">
        <v>40</v>
      </c>
      <c r="F11">
        <f t="shared" si="0"/>
        <v>0</v>
      </c>
      <c r="G11" t="s">
        <v>240</v>
      </c>
      <c r="H11" t="s">
        <v>235</v>
      </c>
      <c r="K11" t="s">
        <v>241</v>
      </c>
      <c r="L11" s="56"/>
      <c r="M11" s="56"/>
      <c r="O11" t="s">
        <v>161</v>
      </c>
      <c r="P11">
        <v>300</v>
      </c>
    </row>
    <row r="12" spans="1:16">
      <c r="A12">
        <v>11</v>
      </c>
      <c r="B12" t="s">
        <v>243</v>
      </c>
      <c r="C12">
        <v>20</v>
      </c>
      <c r="F12">
        <f t="shared" si="0"/>
        <v>20</v>
      </c>
      <c r="G12" t="s">
        <v>244</v>
      </c>
      <c r="O12" t="s">
        <v>169</v>
      </c>
      <c r="P12">
        <v>293</v>
      </c>
    </row>
    <row r="13" spans="1:16">
      <c r="A13">
        <v>12</v>
      </c>
      <c r="B13" t="s">
        <v>245</v>
      </c>
      <c r="C13">
        <v>10</v>
      </c>
      <c r="F13">
        <f t="shared" si="0"/>
        <v>10</v>
      </c>
      <c r="G13" t="s">
        <v>224</v>
      </c>
      <c r="H13" t="s">
        <v>246</v>
      </c>
      <c r="L13" s="56">
        <v>10</v>
      </c>
      <c r="M13" s="56" t="s">
        <v>247</v>
      </c>
      <c r="O13" t="s">
        <v>182</v>
      </c>
      <c r="P13">
        <v>30</v>
      </c>
    </row>
    <row r="14" spans="1:16">
      <c r="A14">
        <v>13</v>
      </c>
      <c r="B14" t="s">
        <v>248</v>
      </c>
      <c r="C14">
        <v>100</v>
      </c>
      <c r="F14">
        <f t="shared" si="0"/>
        <v>100</v>
      </c>
      <c r="G14" t="s">
        <v>224</v>
      </c>
      <c r="I14" t="s">
        <v>232</v>
      </c>
      <c r="P14">
        <f>SUM(P2:P13)</f>
        <v>2083</v>
      </c>
    </row>
    <row r="15" spans="1:16" hidden="1">
      <c r="A15">
        <v>14</v>
      </c>
      <c r="B15" t="s">
        <v>249</v>
      </c>
      <c r="C15">
        <f>8*20</f>
        <v>160</v>
      </c>
      <c r="F15">
        <f t="shared" si="0"/>
        <v>160</v>
      </c>
      <c r="G15" t="s">
        <v>240</v>
      </c>
    </row>
    <row r="16" spans="1:16">
      <c r="A16">
        <v>15</v>
      </c>
      <c r="B16" t="s">
        <v>250</v>
      </c>
      <c r="C16">
        <v>50</v>
      </c>
      <c r="F16">
        <f t="shared" si="0"/>
        <v>50</v>
      </c>
      <c r="G16" t="s">
        <v>224</v>
      </c>
      <c r="H16" t="s">
        <v>235</v>
      </c>
      <c r="I16" t="s">
        <v>232</v>
      </c>
    </row>
    <row r="17" spans="1:16" hidden="1">
      <c r="A17">
        <v>16</v>
      </c>
      <c r="B17" t="s">
        <v>251</v>
      </c>
      <c r="C17">
        <v>56</v>
      </c>
      <c r="E17" s="46">
        <v>56</v>
      </c>
      <c r="F17">
        <f t="shared" si="0"/>
        <v>0</v>
      </c>
      <c r="G17" t="s">
        <v>240</v>
      </c>
      <c r="I17" t="s">
        <v>232</v>
      </c>
      <c r="K17" t="s">
        <v>241</v>
      </c>
      <c r="O17" t="s">
        <v>228</v>
      </c>
      <c r="P17">
        <v>330</v>
      </c>
    </row>
    <row r="18" spans="1:16" hidden="1">
      <c r="A18">
        <v>17</v>
      </c>
      <c r="B18" t="s">
        <v>252</v>
      </c>
      <c r="C18">
        <v>35</v>
      </c>
      <c r="E18" s="46">
        <v>35</v>
      </c>
      <c r="F18">
        <f t="shared" si="0"/>
        <v>0</v>
      </c>
      <c r="G18" t="s">
        <v>240</v>
      </c>
      <c r="I18" t="s">
        <v>232</v>
      </c>
      <c r="L18">
        <v>35</v>
      </c>
      <c r="M18" t="s">
        <v>253</v>
      </c>
      <c r="O18" t="s">
        <v>227</v>
      </c>
      <c r="P18">
        <v>400</v>
      </c>
    </row>
    <row r="19" spans="1:16" hidden="1">
      <c r="A19">
        <v>18</v>
      </c>
      <c r="B19" t="s">
        <v>254</v>
      </c>
      <c r="C19">
        <v>10</v>
      </c>
      <c r="F19">
        <f t="shared" si="0"/>
        <v>10</v>
      </c>
      <c r="G19" t="s">
        <v>240</v>
      </c>
      <c r="K19" t="s">
        <v>241</v>
      </c>
      <c r="O19" t="s">
        <v>255</v>
      </c>
      <c r="P19">
        <v>300</v>
      </c>
    </row>
    <row r="20" spans="1:16">
      <c r="A20">
        <v>19</v>
      </c>
      <c r="B20" t="s">
        <v>256</v>
      </c>
      <c r="C20">
        <v>170</v>
      </c>
      <c r="F20">
        <f t="shared" si="0"/>
        <v>170</v>
      </c>
      <c r="G20" t="s">
        <v>224</v>
      </c>
      <c r="H20" t="s">
        <v>235</v>
      </c>
      <c r="O20" t="s">
        <v>257</v>
      </c>
      <c r="P20">
        <v>230</v>
      </c>
    </row>
    <row r="21" spans="1:16">
      <c r="A21">
        <v>20</v>
      </c>
      <c r="B21" t="s">
        <v>258</v>
      </c>
      <c r="C21">
        <v>60</v>
      </c>
      <c r="F21">
        <f t="shared" si="0"/>
        <v>60</v>
      </c>
      <c r="G21" t="s">
        <v>221</v>
      </c>
      <c r="H21" t="s">
        <v>235</v>
      </c>
      <c r="O21" t="s">
        <v>236</v>
      </c>
      <c r="P21">
        <v>50</v>
      </c>
    </row>
    <row r="22" spans="1:16">
      <c r="A22">
        <v>21</v>
      </c>
      <c r="B22" t="s">
        <v>259</v>
      </c>
      <c r="C22">
        <v>50</v>
      </c>
      <c r="F22">
        <f t="shared" si="0"/>
        <v>50</v>
      </c>
      <c r="G22" t="s">
        <v>221</v>
      </c>
      <c r="H22" t="s">
        <v>260</v>
      </c>
      <c r="O22" t="s">
        <v>237</v>
      </c>
      <c r="P22">
        <v>250</v>
      </c>
    </row>
    <row r="23" spans="1:16">
      <c r="A23" t="s">
        <v>206</v>
      </c>
      <c r="C23">
        <f>SUBTOTAL(109,Table10[Risk amount(k€)])</f>
        <v>4490</v>
      </c>
      <c r="D23">
        <f>SUBTOTAL(109,Table10[thereof included in Risk BP26 (BM-00107793_002)])</f>
        <v>470</v>
      </c>
      <c r="E23">
        <f>SUBTOTAL(109,Table10[Cost coverage ensured elsewhere])</f>
        <v>0</v>
      </c>
      <c r="F23">
        <f>SUBTOTAL(109,Table10[Remaining risk amount])</f>
        <v>4020</v>
      </c>
      <c r="L23">
        <f>SUBTOTAL(109,Table10[Column2])</f>
        <v>106</v>
      </c>
      <c r="O23" t="s">
        <v>243</v>
      </c>
      <c r="P23">
        <v>20</v>
      </c>
    </row>
    <row r="24" spans="1:16">
      <c r="C24">
        <f>2138462.42211813-2080000</f>
        <v>58462.42211813014</v>
      </c>
      <c r="O24" t="s">
        <v>261</v>
      </c>
      <c r="P24">
        <v>10</v>
      </c>
    </row>
    <row r="25" spans="1:16">
      <c r="O25" t="s">
        <v>248</v>
      </c>
      <c r="P25">
        <v>100</v>
      </c>
    </row>
    <row r="26" spans="1:16">
      <c r="C26">
        <f>SUM(C2:C22)</f>
        <v>5157</v>
      </c>
      <c r="D26">
        <f>SUM(D2:D25)</f>
        <v>940</v>
      </c>
      <c r="G26">
        <f>C26-D26</f>
        <v>4217</v>
      </c>
      <c r="H26">
        <f>G26-C10-C11-C17</f>
        <v>4055</v>
      </c>
      <c r="J26">
        <f>840-420-250</f>
        <v>170</v>
      </c>
      <c r="O26" t="s">
        <v>249</v>
      </c>
      <c r="P26" s="6">
        <f>8*20</f>
        <v>160</v>
      </c>
    </row>
    <row r="27" spans="1:16">
      <c r="O27" t="s">
        <v>250</v>
      </c>
      <c r="P27">
        <v>50</v>
      </c>
    </row>
    <row r="28" spans="1:16">
      <c r="O28" t="s">
        <v>252</v>
      </c>
      <c r="P28">
        <v>35</v>
      </c>
    </row>
    <row r="29" spans="1:16">
      <c r="O29" t="s">
        <v>262</v>
      </c>
    </row>
    <row r="30" spans="1:16">
      <c r="C30">
        <f>Table10[[#Totals],[Risk amount(k€)]]-D3-D9-D20</f>
        <v>4070</v>
      </c>
      <c r="G30" t="s">
        <v>263</v>
      </c>
      <c r="O30" t="s">
        <v>256</v>
      </c>
      <c r="P30" s="6">
        <v>170</v>
      </c>
    </row>
    <row r="31" spans="1:16">
      <c r="O31" t="s">
        <v>258</v>
      </c>
      <c r="P31">
        <v>60</v>
      </c>
    </row>
    <row r="32" spans="1:16">
      <c r="O32" t="s">
        <v>259</v>
      </c>
      <c r="P32">
        <v>50</v>
      </c>
    </row>
    <row r="33" spans="2:16">
      <c r="P33" s="71">
        <f>SUM(P17:P32)</f>
        <v>2215</v>
      </c>
    </row>
    <row r="34" spans="2:16">
      <c r="B34" t="s">
        <v>264</v>
      </c>
      <c r="C34">
        <v>9</v>
      </c>
    </row>
    <row r="35" spans="2:16">
      <c r="B35" t="s">
        <v>265</v>
      </c>
      <c r="D35">
        <v>-1.5</v>
      </c>
    </row>
    <row r="36" spans="2:16">
      <c r="B36" t="s">
        <v>266</v>
      </c>
      <c r="C36">
        <v>7.5</v>
      </c>
    </row>
    <row r="37" spans="2:16">
      <c r="B37" t="s">
        <v>267</v>
      </c>
      <c r="D37">
        <v>-2.08</v>
      </c>
    </row>
    <row r="38" spans="2:16">
      <c r="B38" t="s">
        <v>268</v>
      </c>
      <c r="C38">
        <v>5.5</v>
      </c>
    </row>
    <row r="39" spans="2:16">
      <c r="B39" t="s">
        <v>269</v>
      </c>
      <c r="D39">
        <v>-0.4</v>
      </c>
    </row>
    <row r="40" spans="2:16">
      <c r="B40" t="s">
        <v>17</v>
      </c>
      <c r="C40">
        <v>5.0999999999999996</v>
      </c>
    </row>
    <row r="41" spans="2:16">
      <c r="I41">
        <f>9-1.42-2.08</f>
        <v>5.5</v>
      </c>
    </row>
    <row r="42" spans="2:16">
      <c r="B42" t="s">
        <v>270</v>
      </c>
      <c r="C42">
        <v>6.05</v>
      </c>
    </row>
    <row r="48" spans="2:16">
      <c r="B48" t="s">
        <v>271</v>
      </c>
    </row>
    <row r="50" spans="2:13">
      <c r="B50" s="95" t="s">
        <v>272</v>
      </c>
      <c r="C50" s="95" t="s">
        <v>273</v>
      </c>
      <c r="D50" s="95" t="s">
        <v>274</v>
      </c>
      <c r="E50" s="95" t="s">
        <v>275</v>
      </c>
      <c r="F50" s="98" t="s">
        <v>276</v>
      </c>
      <c r="G50" s="98" t="s">
        <v>277</v>
      </c>
      <c r="H50" s="98" t="s">
        <v>278</v>
      </c>
      <c r="I50" s="98" t="s">
        <v>279</v>
      </c>
      <c r="J50" s="98" t="s">
        <v>280</v>
      </c>
      <c r="K50" s="98" t="s">
        <v>281</v>
      </c>
      <c r="L50" s="98" t="s">
        <v>282</v>
      </c>
    </row>
    <row r="51" spans="2:13">
      <c r="B51" s="10" t="s">
        <v>46</v>
      </c>
      <c r="C51" s="1">
        <v>-400000</v>
      </c>
      <c r="D51" s="1">
        <v>0</v>
      </c>
      <c r="E51" s="1">
        <v>400000</v>
      </c>
      <c r="F51" t="s">
        <v>227</v>
      </c>
      <c r="G51" s="1">
        <v>400000</v>
      </c>
      <c r="H51" s="1">
        <f>Table15[[#This Row],[Gap (Prognosis vs. Plan)]]-Table15[[#This Row],[Initial planned risk amount]]</f>
        <v>0</v>
      </c>
      <c r="I51" s="1" t="s">
        <v>283</v>
      </c>
      <c r="J51" s="1" t="s">
        <v>284</v>
      </c>
      <c r="K51" s="1"/>
      <c r="L51" s="1" cm="1">
        <f t="array" ref="L51">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400000</v>
      </c>
    </row>
    <row r="52" spans="2:13">
      <c r="B52" s="10" t="s">
        <v>203</v>
      </c>
      <c r="C52" s="1">
        <v>-343003.95025112602</v>
      </c>
      <c r="D52" s="1">
        <v>0</v>
      </c>
      <c r="E52" s="1">
        <v>343003.95025112602</v>
      </c>
      <c r="F52" t="s">
        <v>285</v>
      </c>
      <c r="G52" s="1">
        <v>343003.95025112602</v>
      </c>
      <c r="H52" s="1">
        <f>Table15[[#This Row],[Gap (Prognosis vs. Plan)]]-Table15[[#This Row],[Initial planned risk amount]]</f>
        <v>0</v>
      </c>
      <c r="I52" s="1" t="s">
        <v>286</v>
      </c>
      <c r="J52" s="1" t="s">
        <v>287</v>
      </c>
      <c r="K52" s="1">
        <v>56009.950251126196</v>
      </c>
      <c r="L52" s="1" cm="1">
        <f t="array" ref="L52">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343003.95025112602</v>
      </c>
    </row>
    <row r="53" spans="2:13">
      <c r="B53" s="10" t="s">
        <v>164</v>
      </c>
      <c r="C53" s="1">
        <v>180000</v>
      </c>
      <c r="D53" s="1">
        <v>332000.00000000012</v>
      </c>
      <c r="E53" s="1">
        <v>152000.00000000012</v>
      </c>
      <c r="F53" t="s">
        <v>288</v>
      </c>
      <c r="G53" s="1"/>
      <c r="H53" s="1">
        <f>Table15[[#This Row],[Gap (Prognosis vs. Plan)]]-Table15[[#This Row],[Initial planned risk amount]]</f>
        <v>152000.00000000012</v>
      </c>
      <c r="I53" s="1" t="s">
        <v>289</v>
      </c>
      <c r="J53" s="1" t="s">
        <v>284</v>
      </c>
      <c r="K53" s="1"/>
      <c r="L53" s="1" cm="1">
        <f t="array" ref="L53">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152000.00000000012</v>
      </c>
    </row>
    <row r="54" spans="2:13">
      <c r="B54" s="10" t="s">
        <v>169</v>
      </c>
      <c r="C54" s="1">
        <v>682500</v>
      </c>
      <c r="D54" s="1">
        <v>823999.99999999988</v>
      </c>
      <c r="E54" s="1">
        <v>141499.99999999988</v>
      </c>
      <c r="F54" t="s">
        <v>288</v>
      </c>
      <c r="G54" s="1">
        <v>292500</v>
      </c>
      <c r="H54" s="1">
        <f>Table15[[#This Row],[Gap (Prognosis vs. Plan)]]-Table15[[#This Row],[Initial planned risk amount]]</f>
        <v>-151000.00000000012</v>
      </c>
      <c r="I54" s="1" t="s">
        <v>290</v>
      </c>
      <c r="J54" s="1" t="s">
        <v>284</v>
      </c>
      <c r="K54" s="1"/>
      <c r="L54" s="1" cm="1">
        <f t="array" ref="L54">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141499.99999999988</v>
      </c>
      <c r="M54" s="1"/>
    </row>
    <row r="55" spans="2:13">
      <c r="B55" s="10" t="s">
        <v>157</v>
      </c>
      <c r="C55" s="1">
        <v>150000</v>
      </c>
      <c r="D55" s="1">
        <v>277605</v>
      </c>
      <c r="E55" s="1">
        <v>127605</v>
      </c>
      <c r="F55" t="s">
        <v>291</v>
      </c>
      <c r="G55" s="1">
        <v>113000.0000000001</v>
      </c>
      <c r="H55" s="1">
        <f>Table15[[#This Row],[Gap (Prognosis vs. Plan)]]-Table15[[#This Row],[Initial planned risk amount]]</f>
        <v>14604.999999999898</v>
      </c>
      <c r="I55" s="1"/>
      <c r="J55" s="1" t="s">
        <v>287</v>
      </c>
      <c r="K55" s="1">
        <f>Table15[[#This Row],[Gap (Prognosis vs. Plan)]]</f>
        <v>127605</v>
      </c>
      <c r="L55" s="1" cm="1">
        <f t="array" ref="L55">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127605</v>
      </c>
    </row>
    <row r="56" spans="2:13">
      <c r="B56" s="10" t="s">
        <v>190</v>
      </c>
      <c r="C56" s="1">
        <v>157197.33333333334</v>
      </c>
      <c r="D56" s="1">
        <v>187708.69312000004</v>
      </c>
      <c r="E56" s="1">
        <v>30511.359786666697</v>
      </c>
      <c r="F56" t="s">
        <v>292</v>
      </c>
      <c r="G56" s="1"/>
      <c r="H56" s="1">
        <f>Table15[[#This Row],[Gap (Prognosis vs. Plan)]]-Table15[[#This Row],[Initial planned risk amount]]</f>
        <v>30511.359786666697</v>
      </c>
      <c r="I56" s="1"/>
      <c r="J56" s="1" t="s">
        <v>284</v>
      </c>
      <c r="K56" s="1"/>
      <c r="L56" s="1" cm="1">
        <f t="array" ref="L56">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30511.359786666697</v>
      </c>
    </row>
    <row r="57" spans="2:13">
      <c r="B57" s="10" t="s">
        <v>183</v>
      </c>
      <c r="C57" s="1">
        <v>78598.666666666672</v>
      </c>
      <c r="D57" s="1">
        <v>99491.888960000011</v>
      </c>
      <c r="E57" s="1">
        <v>20893.22229333334</v>
      </c>
      <c r="F57" t="s">
        <v>292</v>
      </c>
      <c r="G57" s="1"/>
      <c r="H57" s="1">
        <f>Table15[[#This Row],[Gap (Prognosis vs. Plan)]]-Table15[[#This Row],[Initial planned risk amount]]</f>
        <v>20893.22229333334</v>
      </c>
      <c r="I57" s="1"/>
      <c r="J57" s="1" t="s">
        <v>284</v>
      </c>
      <c r="K57" s="1"/>
      <c r="L57" s="1" cm="1">
        <f t="array" ref="L57">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20893.22229333334</v>
      </c>
    </row>
    <row r="58" spans="2:13">
      <c r="B58" s="10" t="s">
        <v>122</v>
      </c>
      <c r="C58" s="1">
        <v>19649.666666666668</v>
      </c>
      <c r="D58" s="1">
        <v>29468.334800000004</v>
      </c>
      <c r="E58" s="1">
        <v>9818.6681333333363</v>
      </c>
      <c r="F58" t="s">
        <v>292</v>
      </c>
      <c r="G58" s="1"/>
      <c r="H58" s="1">
        <f>Table15[[#This Row],[Gap (Prognosis vs. Plan)]]-Table15[[#This Row],[Initial planned risk amount]]</f>
        <v>9818.6681333333363</v>
      </c>
      <c r="I58" s="1"/>
      <c r="J58" s="1" t="s">
        <v>284</v>
      </c>
      <c r="K58" s="1"/>
      <c r="L58" s="1" cm="1">
        <f t="array" ref="L58">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9818.6681333333363</v>
      </c>
    </row>
    <row r="59" spans="2:13">
      <c r="B59" s="10" t="s">
        <v>200</v>
      </c>
      <c r="C59" s="1">
        <v>81437</v>
      </c>
      <c r="D59" s="1">
        <v>85415.613680000009</v>
      </c>
      <c r="E59" s="1">
        <v>3978.6136800000095</v>
      </c>
      <c r="F59" t="s">
        <v>292</v>
      </c>
      <c r="G59" s="1"/>
      <c r="H59" s="1">
        <f>Table15[[#This Row],[Gap (Prognosis vs. Plan)]]-Table15[[#This Row],[Initial planned risk amount]]</f>
        <v>3978.6136800000095</v>
      </c>
      <c r="I59" s="1"/>
      <c r="J59" s="1" t="s">
        <v>284</v>
      </c>
      <c r="K59" s="1"/>
      <c r="L59" s="1" cm="1">
        <f t="array" ref="L59">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3978.6136800000095</v>
      </c>
    </row>
    <row r="60" spans="2:13">
      <c r="B60" s="10" t="s">
        <v>134</v>
      </c>
      <c r="C60" s="1">
        <v>226865.10000000006</v>
      </c>
      <c r="D60" s="1">
        <v>229309.12600000011</v>
      </c>
      <c r="E60" s="1">
        <v>2444.0260000000417</v>
      </c>
      <c r="F60" t="s">
        <v>292</v>
      </c>
      <c r="G60" s="1"/>
      <c r="H60" s="1">
        <f>Table15[[#This Row],[Gap (Prognosis vs. Plan)]]-Table15[[#This Row],[Initial planned risk amount]]</f>
        <v>2444.0260000000417</v>
      </c>
      <c r="I60" s="1"/>
      <c r="J60" s="1" t="s">
        <v>284</v>
      </c>
      <c r="K60" s="1"/>
      <c r="L60" s="1" cm="1">
        <f t="array" ref="L60">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2444.0260000000417</v>
      </c>
    </row>
    <row r="61" spans="2:13">
      <c r="B61" s="10" t="s">
        <v>101</v>
      </c>
      <c r="C61" s="1">
        <v>81435.784313725511</v>
      </c>
      <c r="D61" s="1">
        <v>83713.806714771272</v>
      </c>
      <c r="E61" s="1">
        <v>2278.0224010457605</v>
      </c>
      <c r="F61" t="s">
        <v>292</v>
      </c>
      <c r="G61" s="1"/>
      <c r="H61" s="1">
        <f>Table15[[#This Row],[Gap (Prognosis vs. Plan)]]-Table15[[#This Row],[Initial planned risk amount]]</f>
        <v>2278.0224010457605</v>
      </c>
      <c r="I61" s="1"/>
      <c r="J61" s="1" t="s">
        <v>284</v>
      </c>
      <c r="K61" s="1"/>
      <c r="L61" s="1" cm="1">
        <f t="array" ref="L61">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2278.0224010457605</v>
      </c>
    </row>
    <row r="62" spans="2:13">
      <c r="B62" s="10" t="s">
        <v>115</v>
      </c>
      <c r="C62" s="1">
        <v>40717.892156862748</v>
      </c>
      <c r="D62" s="1">
        <v>42387.109037647075</v>
      </c>
      <c r="E62" s="1">
        <v>1669.2168807843263</v>
      </c>
      <c r="F62" t="s">
        <v>293</v>
      </c>
      <c r="G62" s="1">
        <v>40717.892156862748</v>
      </c>
      <c r="H62" s="1">
        <f>Table15[[#This Row],[Gap (Prognosis vs. Plan)]]-Table15[[#This Row],[Initial planned risk amount]]</f>
        <v>-39048.675276078422</v>
      </c>
      <c r="I62" s="1"/>
      <c r="J62" s="1" t="s">
        <v>284</v>
      </c>
      <c r="K62" s="1"/>
      <c r="L62" s="1" cm="1">
        <f t="array" ref="L62">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1669.2168807843263</v>
      </c>
    </row>
    <row r="63" spans="2:13">
      <c r="B63" s="10" t="s">
        <v>194</v>
      </c>
      <c r="C63" s="1">
        <v>210721.50000000003</v>
      </c>
      <c r="D63" s="1">
        <v>210795.75</v>
      </c>
      <c r="E63" s="1">
        <v>74.249999999970896</v>
      </c>
      <c r="F63" t="s">
        <v>292</v>
      </c>
      <c r="G63" s="1"/>
      <c r="H63" s="1">
        <f>Table15[[#This Row],[Gap (Prognosis vs. Plan)]]-Table15[[#This Row],[Initial planned risk amount]]</f>
        <v>74.249999999970896</v>
      </c>
      <c r="I63" s="1"/>
      <c r="J63" s="1" t="s">
        <v>284</v>
      </c>
      <c r="K63" s="1"/>
      <c r="L63" s="1" cm="1">
        <f t="array" ref="L63">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74.249999999970896</v>
      </c>
    </row>
    <row r="64" spans="2:13">
      <c r="B64" s="10" t="s">
        <v>84</v>
      </c>
      <c r="C64" s="1">
        <v>423141.91304347798</v>
      </c>
      <c r="D64" s="1">
        <f>423141.927536232*2</f>
        <v>846283.85507246398</v>
      </c>
      <c r="E64" s="1">
        <f>Table15[[#This Row],[Estimated at completion (based on YTD actuals, 4-Apr''26)]]-Table15[[#This Row],[CF05 C-Hub PF]]</f>
        <v>423141.942028986</v>
      </c>
      <c r="F64" t="s">
        <v>294</v>
      </c>
      <c r="G64" s="1">
        <v>423141.91304347821</v>
      </c>
      <c r="H64" s="1">
        <f>Table15[[#This Row],[Gap (Prognosis vs. Plan)]]-Table15[[#This Row],[Initial planned risk amount]]</f>
        <v>2.8985507786273956E-2</v>
      </c>
      <c r="I64" s="1"/>
      <c r="J64" s="1" t="s">
        <v>284</v>
      </c>
      <c r="K64" s="1"/>
      <c r="L64" s="1" cm="1">
        <f t="array" ref="L64">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423141.942028986</v>
      </c>
    </row>
    <row r="65" spans="2:12">
      <c r="B65" s="10" t="s">
        <v>80</v>
      </c>
      <c r="C65" s="1">
        <v>0</v>
      </c>
      <c r="D65" s="1">
        <v>0</v>
      </c>
      <c r="E65" s="1">
        <v>0</v>
      </c>
      <c r="F65" t="s">
        <v>295</v>
      </c>
      <c r="G65" s="1"/>
      <c r="H65" s="1">
        <f>Table15[[#This Row],[Gap (Prognosis vs. Plan)]]-Table15[[#This Row],[Initial planned risk amount]]</f>
        <v>0</v>
      </c>
      <c r="I65" s="1"/>
      <c r="J65" s="1"/>
      <c r="K65" s="1"/>
      <c r="L65" s="1" cm="1">
        <f t="array" ref="L65">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0</v>
      </c>
    </row>
    <row r="66" spans="2:12">
      <c r="B66" s="10" t="s">
        <v>77</v>
      </c>
      <c r="C66" s="1">
        <v>0</v>
      </c>
      <c r="D66" s="1">
        <v>0</v>
      </c>
      <c r="E66" s="1">
        <v>0</v>
      </c>
      <c r="F66" t="s">
        <v>295</v>
      </c>
      <c r="G66" s="1"/>
      <c r="H66" s="1">
        <f>Table15[[#This Row],[Gap (Prognosis vs. Plan)]]-Table15[[#This Row],[Initial planned risk amount]]</f>
        <v>0</v>
      </c>
      <c r="I66" s="1"/>
      <c r="J66" s="1"/>
      <c r="K66" s="1"/>
      <c r="L66" s="1" cm="1">
        <f t="array" ref="L66">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0</v>
      </c>
    </row>
    <row r="67" spans="2:12">
      <c r="B67" s="10" t="s">
        <v>171</v>
      </c>
      <c r="C67" s="1">
        <v>0</v>
      </c>
      <c r="D67" s="1">
        <v>0</v>
      </c>
      <c r="E67" s="1">
        <v>0</v>
      </c>
      <c r="F67" t="s">
        <v>295</v>
      </c>
      <c r="G67" s="1"/>
      <c r="H67" s="1">
        <f>Table15[[#This Row],[Gap (Prognosis vs. Plan)]]-Table15[[#This Row],[Initial planned risk amount]]</f>
        <v>0</v>
      </c>
      <c r="I67" s="1"/>
      <c r="J67" s="1"/>
      <c r="K67" s="1"/>
      <c r="L67" s="1" cm="1">
        <f t="array" ref="L67">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0</v>
      </c>
    </row>
    <row r="68" spans="2:12">
      <c r="B68" s="10" t="s">
        <v>151</v>
      </c>
      <c r="C68" s="1">
        <v>0</v>
      </c>
      <c r="D68" s="1">
        <v>0</v>
      </c>
      <c r="E68" s="1">
        <v>0</v>
      </c>
      <c r="F68" t="s">
        <v>295</v>
      </c>
      <c r="G68" s="1"/>
      <c r="H68" s="1">
        <f>Table15[[#This Row],[Gap (Prognosis vs. Plan)]]-Table15[[#This Row],[Initial planned risk amount]]</f>
        <v>0</v>
      </c>
      <c r="I68" s="1"/>
      <c r="J68" s="1"/>
      <c r="K68" s="1"/>
      <c r="L68" s="1" cm="1">
        <f t="array" ref="L68">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0</v>
      </c>
    </row>
    <row r="69" spans="2:12">
      <c r="B69" s="10" t="s">
        <v>50</v>
      </c>
      <c r="C69" s="1">
        <v>0</v>
      </c>
      <c r="D69" s="1">
        <v>0</v>
      </c>
      <c r="E69" s="1">
        <v>0</v>
      </c>
      <c r="F69" t="s">
        <v>295</v>
      </c>
      <c r="G69" s="1"/>
      <c r="H69" s="1">
        <f>Table15[[#This Row],[Gap (Prognosis vs. Plan)]]-Table15[[#This Row],[Initial planned risk amount]]</f>
        <v>0</v>
      </c>
      <c r="I69" s="1"/>
      <c r="J69" s="1"/>
      <c r="K69" s="1"/>
      <c r="L69" s="1" cm="1">
        <f t="array" ref="L69">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0</v>
      </c>
    </row>
    <row r="70" spans="2:12">
      <c r="B70" s="10" t="s">
        <v>174</v>
      </c>
      <c r="C70" s="1">
        <v>0</v>
      </c>
      <c r="D70" s="1">
        <v>0</v>
      </c>
      <c r="E70" s="1">
        <v>0</v>
      </c>
      <c r="F70" t="s">
        <v>295</v>
      </c>
      <c r="G70" s="1"/>
      <c r="H70" s="1">
        <f>Table15[[#This Row],[Gap (Prognosis vs. Plan)]]-Table15[[#This Row],[Initial planned risk amount]]</f>
        <v>0</v>
      </c>
      <c r="I70" s="1"/>
      <c r="J70" s="1"/>
      <c r="K70" s="1"/>
      <c r="L70" s="1" cm="1">
        <f t="array" ref="L70">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0</v>
      </c>
    </row>
    <row r="71" spans="2:12">
      <c r="B71" s="10" t="s">
        <v>129</v>
      </c>
      <c r="C71" s="1">
        <v>0</v>
      </c>
      <c r="D71" s="1">
        <v>0</v>
      </c>
      <c r="E71" s="1">
        <v>0</v>
      </c>
      <c r="F71" t="s">
        <v>295</v>
      </c>
      <c r="G71" s="1"/>
      <c r="H71" s="1">
        <f>Table15[[#This Row],[Gap (Prognosis vs. Plan)]]-Table15[[#This Row],[Initial planned risk amount]]</f>
        <v>0</v>
      </c>
      <c r="I71" s="1"/>
      <c r="J71" s="1"/>
      <c r="K71" s="1"/>
      <c r="L71" s="1" cm="1">
        <f t="array" ref="L71">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0</v>
      </c>
    </row>
    <row r="72" spans="2:12">
      <c r="B72" s="10" t="s">
        <v>52</v>
      </c>
      <c r="C72" s="1">
        <v>0</v>
      </c>
      <c r="D72" s="1">
        <v>0</v>
      </c>
      <c r="E72" s="1">
        <v>0</v>
      </c>
      <c r="F72" t="s">
        <v>296</v>
      </c>
      <c r="G72" s="1">
        <v>250000</v>
      </c>
      <c r="H72" s="1">
        <f>Table15[[#This Row],[Gap (Prognosis vs. Plan)]]-Table15[[#This Row],[Initial planned risk amount]]</f>
        <v>-250000</v>
      </c>
      <c r="I72" s="1"/>
      <c r="J72" s="1" t="s">
        <v>284</v>
      </c>
      <c r="K72" s="1"/>
      <c r="L72" s="1" cm="1">
        <f t="array" ref="L72">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0</v>
      </c>
    </row>
    <row r="73" spans="2:12">
      <c r="B73" s="10" t="s">
        <v>202</v>
      </c>
      <c r="C73" s="1">
        <v>0</v>
      </c>
      <c r="D73" s="1">
        <v>0</v>
      </c>
      <c r="E73" s="1">
        <v>0</v>
      </c>
      <c r="F73" t="s">
        <v>295</v>
      </c>
      <c r="G73" s="1"/>
      <c r="H73" s="1">
        <f>Table15[[#This Row],[Gap (Prognosis vs. Plan)]]-Table15[[#This Row],[Initial planned risk amount]]</f>
        <v>0</v>
      </c>
      <c r="I73" s="1"/>
      <c r="J73" s="1"/>
      <c r="K73" s="1"/>
      <c r="L73" s="1" cm="1">
        <f t="array" ref="L73">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0</v>
      </c>
    </row>
    <row r="74" spans="2:12">
      <c r="B74" s="10" t="s">
        <v>154</v>
      </c>
      <c r="C74" s="1">
        <v>98689.339383297905</v>
      </c>
      <c r="D74" s="1">
        <v>98689.339383297935</v>
      </c>
      <c r="E74" s="1">
        <v>0</v>
      </c>
      <c r="F74" t="s">
        <v>295</v>
      </c>
      <c r="G74" s="1"/>
      <c r="H74" s="1">
        <f>Table15[[#This Row],[Gap (Prognosis vs. Plan)]]-Table15[[#This Row],[Initial planned risk amount]]</f>
        <v>0</v>
      </c>
      <c r="I74" s="1"/>
      <c r="J74" s="1"/>
      <c r="K74" s="1"/>
      <c r="L74" s="1" cm="1">
        <f t="array" ref="L74">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0</v>
      </c>
    </row>
    <row r="75" spans="2:12">
      <c r="B75" s="10" t="s">
        <v>41</v>
      </c>
      <c r="C75" s="1">
        <v>-330000</v>
      </c>
      <c r="D75" s="1">
        <v>0</v>
      </c>
      <c r="E75" s="1">
        <v>330000</v>
      </c>
      <c r="F75" t="s">
        <v>228</v>
      </c>
      <c r="G75" s="1">
        <v>330000</v>
      </c>
      <c r="H75" s="1">
        <f>Table15[[#This Row],[Gap (Prognosis vs. Plan)]]-Table15[[#This Row],[Initial planned risk amount]]</f>
        <v>0</v>
      </c>
      <c r="I75" s="1"/>
      <c r="J75" s="1" t="s">
        <v>284</v>
      </c>
      <c r="K75" s="1"/>
      <c r="L75" s="1" cm="1">
        <f t="array" ref="L75">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330000</v>
      </c>
    </row>
    <row r="76" spans="2:12">
      <c r="B76" s="10" t="s">
        <v>139</v>
      </c>
      <c r="C76" s="1">
        <v>578153.67200000002</v>
      </c>
      <c r="D76" s="1">
        <v>578153.25399999996</v>
      </c>
      <c r="E76" s="1">
        <v>-0.41800000006332994</v>
      </c>
      <c r="F76" t="s">
        <v>295</v>
      </c>
      <c r="G76" s="1"/>
      <c r="H76" s="1">
        <f>Table15[[#This Row],[Gap (Prognosis vs. Plan)]]-Table15[[#This Row],[Initial planned risk amount]]</f>
        <v>-0.41800000006332994</v>
      </c>
      <c r="I76" s="1"/>
      <c r="J76" s="1"/>
      <c r="K76" s="1"/>
      <c r="L76" s="1" cm="1">
        <f t="array" ref="L76">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-0.41800000006332994</v>
      </c>
    </row>
    <row r="77" spans="2:12">
      <c r="B77" s="10" t="s">
        <v>125</v>
      </c>
      <c r="C77" s="1">
        <v>19721.52</v>
      </c>
      <c r="D77" s="1">
        <v>19485.290280455996</v>
      </c>
      <c r="E77" s="1">
        <v>-236.22971954400418</v>
      </c>
      <c r="F77" t="s">
        <v>292</v>
      </c>
      <c r="G77" s="1"/>
      <c r="H77" s="1">
        <f>Table15[[#This Row],[Gap (Prognosis vs. Plan)]]-Table15[[#This Row],[Initial planned risk amount]]</f>
        <v>-236.22971954400418</v>
      </c>
      <c r="I77" s="1"/>
      <c r="J77" s="1" t="s">
        <v>284</v>
      </c>
      <c r="K77" s="1"/>
      <c r="L77" s="1" cm="1">
        <f t="array" ref="L77">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-236.22971954400418</v>
      </c>
    </row>
    <row r="78" spans="2:12">
      <c r="B78" s="10" t="s">
        <v>196</v>
      </c>
      <c r="C78" s="1">
        <v>81437</v>
      </c>
      <c r="D78" s="1">
        <v>81039.090160000007</v>
      </c>
      <c r="E78" s="1">
        <v>-397.90983999999298</v>
      </c>
      <c r="F78" t="s">
        <v>292</v>
      </c>
      <c r="G78" s="1"/>
      <c r="H78" s="1">
        <f>Table15[[#This Row],[Gap (Prognosis vs. Plan)]]-Table15[[#This Row],[Initial planned risk amount]]</f>
        <v>-397.90983999999298</v>
      </c>
      <c r="I78" s="1"/>
      <c r="J78" s="1" t="s">
        <v>284</v>
      </c>
      <c r="K78" s="1"/>
      <c r="L78" s="1" cm="1">
        <f t="array" ref="L78">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-397.90983999999298</v>
      </c>
    </row>
    <row r="79" spans="2:12">
      <c r="B79" s="10" t="s">
        <v>187</v>
      </c>
      <c r="C79" s="1">
        <v>52462.84</v>
      </c>
      <c r="D79" s="1">
        <v>51767.234199048005</v>
      </c>
      <c r="E79" s="1">
        <v>-695.60580095199111</v>
      </c>
      <c r="F79" t="s">
        <v>292</v>
      </c>
      <c r="G79" s="1"/>
      <c r="H79" s="1">
        <f>Table15[[#This Row],[Gap (Prognosis vs. Plan)]]-Table15[[#This Row],[Initial planned risk amount]]</f>
        <v>-695.60580095199111</v>
      </c>
      <c r="I79" s="1"/>
      <c r="J79" s="1" t="s">
        <v>284</v>
      </c>
      <c r="K79" s="1"/>
      <c r="L79" s="1" cm="1">
        <f t="array" ref="L79">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-695.60580095199111</v>
      </c>
    </row>
    <row r="80" spans="2:12">
      <c r="B80" s="10" t="s">
        <v>120</v>
      </c>
      <c r="C80" s="1">
        <v>26231.42</v>
      </c>
      <c r="D80" s="1">
        <v>24979.624858620002</v>
      </c>
      <c r="E80" s="1">
        <v>-1251.7951413799965</v>
      </c>
      <c r="F80" t="s">
        <v>292</v>
      </c>
      <c r="G80" s="1"/>
      <c r="H80" s="1">
        <f>Table15[[#This Row],[Gap (Prognosis vs. Plan)]]-Table15[[#This Row],[Initial planned risk amount]]</f>
        <v>-1251.7951413799965</v>
      </c>
      <c r="I80" s="1"/>
      <c r="J80" s="1" t="s">
        <v>284</v>
      </c>
      <c r="K80" s="1"/>
      <c r="L80" s="1" cm="1">
        <f t="array" ref="L80">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-1251.7951413799965</v>
      </c>
    </row>
    <row r="81" spans="2:12">
      <c r="B81" s="10" t="s">
        <v>97</v>
      </c>
      <c r="C81" s="1">
        <v>117898</v>
      </c>
      <c r="D81" s="1">
        <v>115803.33551999998</v>
      </c>
      <c r="E81" s="1">
        <v>-2094.6644800000213</v>
      </c>
      <c r="F81" t="s">
        <v>297</v>
      </c>
      <c r="G81" s="1">
        <v>78598.666666666672</v>
      </c>
      <c r="H81" s="1">
        <f>Table15[[#This Row],[Gap (Prognosis vs. Plan)]]-Table15[[#This Row],[Initial planned risk amount]]</f>
        <v>-80693.331146666693</v>
      </c>
      <c r="I81" s="1"/>
      <c r="J81" s="1" t="s">
        <v>284</v>
      </c>
      <c r="K81" s="1"/>
      <c r="L81" s="1" cm="1">
        <f t="array" ref="L81">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-2094.6644800000213</v>
      </c>
    </row>
    <row r="82" spans="2:12">
      <c r="B82" s="10" t="s">
        <v>182</v>
      </c>
      <c r="C82" s="1">
        <v>20000</v>
      </c>
      <c r="D82" s="1">
        <v>16870.366666666665</v>
      </c>
      <c r="E82" s="1">
        <v>-3129.633333333335</v>
      </c>
      <c r="F82" t="s">
        <v>298</v>
      </c>
      <c r="G82" s="1">
        <v>30000</v>
      </c>
      <c r="H82" s="1">
        <f>Table15[[#This Row],[Gap (Prognosis vs. Plan)]]-Table15[[#This Row],[Initial planned risk amount]]</f>
        <v>-33129.633333333331</v>
      </c>
      <c r="I82" s="1"/>
      <c r="J82" s="1" t="s">
        <v>284</v>
      </c>
      <c r="K82" s="1"/>
      <c r="L82" s="1" cm="1">
        <f t="array" ref="L82">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-3129.6333333333314</v>
      </c>
    </row>
    <row r="83" spans="2:12">
      <c r="B83" s="10" t="s">
        <v>179</v>
      </c>
      <c r="C83" s="1">
        <v>39299.333333333336</v>
      </c>
      <c r="D83" s="1">
        <v>35292.433120000002</v>
      </c>
      <c r="E83" s="1">
        <v>-4006.9002133333342</v>
      </c>
      <c r="F83" t="s">
        <v>292</v>
      </c>
      <c r="G83" s="1"/>
      <c r="H83" s="1">
        <f>Table15[[#This Row],[Gap (Prognosis vs. Plan)]]-Table15[[#This Row],[Initial planned risk amount]]</f>
        <v>-4006.9002133333342</v>
      </c>
      <c r="I83" s="1"/>
      <c r="J83" s="1" t="s">
        <v>284</v>
      </c>
      <c r="K83" s="1"/>
      <c r="L83" s="1" cm="1">
        <f t="array" ref="L83">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-4006.9002133333342</v>
      </c>
    </row>
    <row r="84" spans="2:12">
      <c r="B84" s="10" t="s">
        <v>107</v>
      </c>
      <c r="C84" s="1">
        <v>25000</v>
      </c>
      <c r="D84" s="1">
        <v>18750</v>
      </c>
      <c r="E84" s="1">
        <v>-6250</v>
      </c>
      <c r="F84" s="10" t="s">
        <v>299</v>
      </c>
      <c r="G84" s="1">
        <v>100000</v>
      </c>
      <c r="H84" s="1">
        <f>Table15[[#This Row],[Gap (Prognosis vs. Plan)]]-Table15[[#This Row],[Initial planned risk amount]]</f>
        <v>-106250</v>
      </c>
      <c r="I84" s="1"/>
      <c r="J84" s="1" t="s">
        <v>284</v>
      </c>
      <c r="K84" s="1"/>
      <c r="L84" s="1" cm="1">
        <f t="array" ref="L84">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-6250</v>
      </c>
    </row>
    <row r="85" spans="2:12">
      <c r="B85" s="10" t="s">
        <v>113</v>
      </c>
      <c r="C85" s="1">
        <v>25000</v>
      </c>
      <c r="D85" s="1">
        <v>18750</v>
      </c>
      <c r="E85" s="1">
        <v>-6250</v>
      </c>
      <c r="F85" s="10" t="s">
        <v>300</v>
      </c>
      <c r="G85" s="1">
        <v>100000</v>
      </c>
      <c r="H85" s="1">
        <f>Table15[[#This Row],[Gap (Prognosis vs. Plan)]]-Table15[[#This Row],[Initial planned risk amount]]</f>
        <v>-106250</v>
      </c>
      <c r="I85" s="1"/>
      <c r="J85" s="1" t="s">
        <v>284</v>
      </c>
      <c r="K85" s="1"/>
      <c r="L85" s="1" cm="1">
        <f t="array" ref="L85">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-6250</v>
      </c>
    </row>
    <row r="86" spans="2:12">
      <c r="B86" s="10" t="s">
        <v>161</v>
      </c>
      <c r="C86" s="1">
        <v>60000</v>
      </c>
      <c r="D86" s="1">
        <v>50000</v>
      </c>
      <c r="E86" s="1">
        <v>-10000</v>
      </c>
      <c r="F86" t="s">
        <v>301</v>
      </c>
      <c r="G86" s="1">
        <v>300000.00000000017</v>
      </c>
      <c r="H86" s="1">
        <f>Table15[[#This Row],[Gap (Prognosis vs. Plan)]]-Table15[[#This Row],[Initial planned risk amount]]</f>
        <v>-310000.00000000017</v>
      </c>
      <c r="I86" s="1"/>
      <c r="J86" s="1" t="s">
        <v>284</v>
      </c>
      <c r="K86" s="1"/>
      <c r="L86" s="1" cm="1">
        <f t="array" ref="L86">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-10000</v>
      </c>
    </row>
    <row r="87" spans="2:12">
      <c r="B87" s="10" t="s">
        <v>177</v>
      </c>
      <c r="C87" s="1">
        <v>78598.666666666672</v>
      </c>
      <c r="D87" s="1">
        <v>66848.14112</v>
      </c>
      <c r="E87" s="1">
        <v>-11750.525546666671</v>
      </c>
      <c r="F87" t="s">
        <v>292</v>
      </c>
      <c r="G87" s="1"/>
      <c r="H87" s="1">
        <f>Table15[[#This Row],[Gap (Prognosis vs. Plan)]]-Table15[[#This Row],[Initial planned risk amount]]</f>
        <v>-11750.525546666671</v>
      </c>
      <c r="I87" s="1"/>
      <c r="J87" s="1" t="s">
        <v>284</v>
      </c>
      <c r="K87" s="1"/>
      <c r="L87" s="1" cm="1">
        <f t="array" ref="L87">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-11750.525546666671</v>
      </c>
    </row>
    <row r="88" spans="2:12">
      <c r="B88" s="10" t="s">
        <v>64</v>
      </c>
      <c r="C88" s="1">
        <v>131061.50666666667</v>
      </c>
      <c r="D88" s="1">
        <v>110716.23419904802</v>
      </c>
      <c r="E88" s="1">
        <v>-20345.272467618655</v>
      </c>
      <c r="F88" t="s">
        <v>292</v>
      </c>
      <c r="G88" s="1"/>
      <c r="H88" s="1">
        <f>Table15[[#This Row],[Gap (Prognosis vs. Plan)]]-Table15[[#This Row],[Initial planned risk amount]]</f>
        <v>-20345.272467618655</v>
      </c>
      <c r="I88" s="1"/>
      <c r="J88" s="1" t="s">
        <v>284</v>
      </c>
      <c r="K88" s="1"/>
      <c r="L88" s="1" cm="1">
        <f t="array" ref="L88">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-20345.272467618655</v>
      </c>
    </row>
    <row r="89" spans="2:12">
      <c r="B89" s="10" t="s">
        <v>93</v>
      </c>
      <c r="C89" s="1">
        <v>196374.51428571428</v>
      </c>
      <c r="D89" s="1">
        <v>172254.28571428568</v>
      </c>
      <c r="E89" s="1">
        <v>-24120.228571428583</v>
      </c>
      <c r="F89" t="s">
        <v>292</v>
      </c>
      <c r="G89" s="1"/>
      <c r="H89" s="1">
        <f>Table15[[#This Row],[Gap (Prognosis vs. Plan)]]-Table15[[#This Row],[Initial planned risk amount]]</f>
        <v>-24120.228571428583</v>
      </c>
      <c r="I89" s="1"/>
      <c r="J89" s="1" t="s">
        <v>284</v>
      </c>
      <c r="K89" s="1"/>
      <c r="L89" s="1" cm="1">
        <f t="array" ref="L89">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-24120.228571428583</v>
      </c>
    </row>
    <row r="90" spans="2:12">
      <c r="B90" s="10" t="s">
        <v>58</v>
      </c>
      <c r="C90" s="1">
        <v>210000</v>
      </c>
      <c r="D90" s="1">
        <v>184135.01</v>
      </c>
      <c r="E90" s="1">
        <v>-25864.989999999991</v>
      </c>
      <c r="F90" t="s">
        <v>302</v>
      </c>
      <c r="G90" s="1">
        <v>67500</v>
      </c>
      <c r="H90" s="1">
        <f>Table15[[#This Row],[Gap (Prognosis vs. Plan)]]-Table15[[#This Row],[Initial planned risk amount]]</f>
        <v>-93364.989999999991</v>
      </c>
      <c r="I90" s="1"/>
      <c r="J90" s="1" t="s">
        <v>284</v>
      </c>
      <c r="K90" s="1"/>
      <c r="L90" s="1" cm="1">
        <f t="array" ref="L90">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-25864.989999999991</v>
      </c>
    </row>
    <row r="91" spans="2:12">
      <c r="B91" s="10" t="s">
        <v>149</v>
      </c>
      <c r="C91" s="1">
        <v>611000</v>
      </c>
      <c r="D91" s="1">
        <v>569604.27080000006</v>
      </c>
      <c r="E91" s="1">
        <v>-41395.729199999943</v>
      </c>
      <c r="F91" t="s">
        <v>292</v>
      </c>
      <c r="G91" s="1"/>
      <c r="H91" s="1">
        <f>Table15[[#This Row],[Gap (Prognosis vs. Plan)]]-Table15[[#This Row],[Initial planned risk amount]]</f>
        <v>-41395.729199999943</v>
      </c>
      <c r="I91" s="1"/>
      <c r="J91" s="1" t="s">
        <v>284</v>
      </c>
      <c r="K91" s="1"/>
      <c r="L91" s="1" cm="1">
        <f t="array" ref="L91">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-41395.729199999943</v>
      </c>
    </row>
    <row r="92" spans="2:12">
      <c r="B92" s="10" t="s">
        <v>144</v>
      </c>
      <c r="C92" s="1">
        <v>1095000</v>
      </c>
      <c r="D92" s="1">
        <v>975412.02979754005</v>
      </c>
      <c r="E92" s="1">
        <v>-119587.97020245995</v>
      </c>
      <c r="F92" t="s">
        <v>292</v>
      </c>
      <c r="G92" s="1"/>
      <c r="H92" s="1">
        <f>Table15[[#This Row],[Gap (Prognosis vs. Plan)]]-Table15[[#This Row],[Initial planned risk amount]]</f>
        <v>-119587.97020245995</v>
      </c>
      <c r="I92" s="1"/>
      <c r="J92" s="1" t="s">
        <v>284</v>
      </c>
      <c r="K92" s="1"/>
      <c r="L92" s="1" cm="1">
        <f t="array" ref="L92">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-119587.97020245995</v>
      </c>
    </row>
    <row r="93" spans="2:12">
      <c r="B93" s="10" t="s">
        <v>88</v>
      </c>
      <c r="C93" s="1">
        <v>370000</v>
      </c>
      <c r="D93" s="1">
        <v>222000</v>
      </c>
      <c r="E93" s="1">
        <v>-148000</v>
      </c>
      <c r="F93" t="s">
        <v>288</v>
      </c>
      <c r="G93" s="1"/>
      <c r="H93" s="1">
        <f>Table15[[#This Row],[Gap (Prognosis vs. Plan)]]-Table15[[#This Row],[Initial planned risk amount]]</f>
        <v>-148000</v>
      </c>
      <c r="I93" s="1" t="s">
        <v>290</v>
      </c>
      <c r="J93" s="1" t="s">
        <v>284</v>
      </c>
      <c r="K93" s="1"/>
      <c r="L93" s="1" cm="1">
        <f t="array" ref="L93">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-148000</v>
      </c>
    </row>
    <row r="94" spans="2:12">
      <c r="B94" s="19" t="s">
        <v>303</v>
      </c>
      <c r="C94" s="1"/>
      <c r="D94" s="1">
        <v>230000</v>
      </c>
      <c r="E94" s="1">
        <f>Table15[[#This Row],[Estimated at completion (based on YTD actuals, 4-Apr''26)]]-Table15[[#This Row],[CF05 C-Hub PF]]</f>
        <v>230000</v>
      </c>
      <c r="F94" t="s">
        <v>234</v>
      </c>
      <c r="G94" s="1">
        <v>230000</v>
      </c>
      <c r="H94" s="1">
        <v>0</v>
      </c>
      <c r="I94" s="1"/>
      <c r="J94" s="1" t="s">
        <v>284</v>
      </c>
      <c r="K94" s="1"/>
      <c r="L94" s="1" cm="1">
        <f t="array" ref="L94">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230000</v>
      </c>
    </row>
    <row r="95" spans="2:12">
      <c r="B95" s="19" t="s">
        <v>303</v>
      </c>
      <c r="C95" s="1"/>
      <c r="D95" s="1">
        <v>100000</v>
      </c>
      <c r="E95" s="1">
        <f>Table15[[#This Row],[Estimated at completion (based on YTD actuals, 4-Apr''26)]]-Table15[[#This Row],[CF05 C-Hub PF]]</f>
        <v>100000</v>
      </c>
      <c r="F95" t="s">
        <v>237</v>
      </c>
      <c r="G95" s="1">
        <v>100000</v>
      </c>
      <c r="H95" s="1">
        <v>0</v>
      </c>
      <c r="I95" s="1"/>
      <c r="J95" s="1" t="s">
        <v>284</v>
      </c>
      <c r="K95" s="1"/>
      <c r="L95" s="1" cm="1">
        <f t="array" ref="L95">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100000</v>
      </c>
    </row>
    <row r="96" spans="2:12">
      <c r="B96" s="19" t="s">
        <v>303</v>
      </c>
      <c r="C96" s="1"/>
      <c r="D96" s="1">
        <v>10000</v>
      </c>
      <c r="E96" s="1">
        <f>Table15[[#This Row],[Estimated at completion (based on YTD actuals, 4-Apr''26)]]-Table15[[#This Row],[CF05 C-Hub PF]]</f>
        <v>10000</v>
      </c>
      <c r="F96" t="s">
        <v>261</v>
      </c>
      <c r="G96" s="1">
        <v>10000</v>
      </c>
      <c r="H96" s="1">
        <v>0</v>
      </c>
      <c r="I96" s="1"/>
      <c r="J96" s="1" t="s">
        <v>287</v>
      </c>
      <c r="K96" s="1">
        <v>25000</v>
      </c>
      <c r="L96" s="1" cm="1">
        <f t="array" ref="L96">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10000</v>
      </c>
    </row>
    <row r="97" spans="2:12">
      <c r="B97" s="19" t="s">
        <v>303</v>
      </c>
      <c r="C97" s="1"/>
      <c r="D97" s="1">
        <v>100000</v>
      </c>
      <c r="E97" s="1">
        <f>Table15[[#This Row],[Estimated at completion (based on YTD actuals, 4-Apr''26)]]-Table15[[#This Row],[CF05 C-Hub PF]]</f>
        <v>100000</v>
      </c>
      <c r="F97" t="s">
        <v>248</v>
      </c>
      <c r="G97" s="1">
        <v>100000</v>
      </c>
      <c r="H97" s="1">
        <v>0</v>
      </c>
      <c r="I97" s="1"/>
      <c r="J97" s="1" t="s">
        <v>287</v>
      </c>
      <c r="K97" s="1">
        <v>50000</v>
      </c>
      <c r="L97" s="1" cm="1">
        <f t="array" ref="L97">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100000</v>
      </c>
    </row>
    <row r="98" spans="2:12">
      <c r="B98" s="19" t="s">
        <v>303</v>
      </c>
      <c r="C98" s="1"/>
      <c r="D98" s="1">
        <v>50000</v>
      </c>
      <c r="E98" s="1">
        <f>Table15[[#This Row],[Estimated at completion (based on YTD actuals, 4-Apr''26)]]-Table15[[#This Row],[CF05 C-Hub PF]]</f>
        <v>50000</v>
      </c>
      <c r="F98" t="s">
        <v>250</v>
      </c>
      <c r="G98" s="1">
        <v>50000</v>
      </c>
      <c r="H98" s="1">
        <v>0</v>
      </c>
      <c r="I98" s="1"/>
      <c r="J98" s="1" t="s">
        <v>284</v>
      </c>
      <c r="K98" s="1"/>
      <c r="L98" s="1" cm="1">
        <f t="array" ref="L98">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50000</v>
      </c>
    </row>
    <row r="99" spans="2:12">
      <c r="B99" s="19" t="s">
        <v>303</v>
      </c>
      <c r="C99" s="1"/>
      <c r="D99" s="1">
        <v>170000</v>
      </c>
      <c r="E99" s="1">
        <f>Table15[[#This Row],[Estimated at completion (based on YTD actuals, 4-Apr''26)]]-Table15[[#This Row],[CF05 C-Hub PF]]</f>
        <v>170000</v>
      </c>
      <c r="F99" t="s">
        <v>256</v>
      </c>
      <c r="G99" s="1">
        <v>170000</v>
      </c>
      <c r="H99" s="1">
        <v>0</v>
      </c>
      <c r="I99" s="1"/>
      <c r="J99" s="1" t="s">
        <v>284</v>
      </c>
      <c r="K99" s="1"/>
      <c r="L99" s="1" cm="1">
        <f t="array" ref="L99">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170000</v>
      </c>
    </row>
    <row r="100" spans="2:12">
      <c r="B100" s="19" t="s">
        <v>303</v>
      </c>
      <c r="C100" s="1"/>
      <c r="D100" s="1">
        <v>60000</v>
      </c>
      <c r="E100" s="1">
        <f>Table15[[#This Row],[Estimated at completion (based on YTD actuals, 4-Apr''26)]]-Table15[[#This Row],[CF05 C-Hub PF]]</f>
        <v>60000</v>
      </c>
      <c r="F100" t="s">
        <v>258</v>
      </c>
      <c r="G100" s="1">
        <v>60000</v>
      </c>
      <c r="H100" s="1">
        <v>0</v>
      </c>
      <c r="I100" s="1"/>
      <c r="J100" s="1" t="s">
        <v>284</v>
      </c>
      <c r="K100" s="1"/>
      <c r="L100" s="1" cm="1">
        <f t="array" ref="L100">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60000</v>
      </c>
    </row>
    <row r="101" spans="2:12">
      <c r="B101" s="19" t="s">
        <v>303</v>
      </c>
      <c r="C101" s="1"/>
      <c r="D101" s="1">
        <v>50000</v>
      </c>
      <c r="E101" s="1">
        <f>Table15[[#This Row],[Estimated at completion (based on YTD actuals, 4-Apr''26)]]-Table15[[#This Row],[CF05 C-Hub PF]]</f>
        <v>50000</v>
      </c>
      <c r="F101" t="s">
        <v>259</v>
      </c>
      <c r="G101" s="1">
        <v>50000</v>
      </c>
      <c r="H101" s="1">
        <v>0</v>
      </c>
      <c r="I101" s="1"/>
      <c r="J101" s="1" t="s">
        <v>284</v>
      </c>
      <c r="K101" s="1"/>
      <c r="L101" s="1" cm="1">
        <f t="array" ref="L101">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50000</v>
      </c>
    </row>
    <row r="102" spans="2:12">
      <c r="B102" s="19" t="s">
        <v>303</v>
      </c>
      <c r="C102" s="1"/>
      <c r="D102" s="1">
        <v>420000</v>
      </c>
      <c r="E102" s="1">
        <f>Table15[[#This Row],[Estimated at completion (based on YTD actuals, 4-Apr''26)]]-Table15[[#This Row],[CF05 C-Hub PF]]</f>
        <v>420000</v>
      </c>
      <c r="F102" t="s">
        <v>223</v>
      </c>
      <c r="G102" s="1">
        <v>420000</v>
      </c>
      <c r="H102" s="1">
        <v>0</v>
      </c>
      <c r="I102" s="1"/>
      <c r="J102" s="1" t="s">
        <v>284</v>
      </c>
      <c r="K102" s="1"/>
      <c r="L102" s="1" cm="1">
        <f t="array" ref="L102">_xlfn.IFS(Table15[[#This Row],[Delta planned risk amount vs. YTD gap]]=0,Table15[[#This Row],[Initial planned risk amount]],Table15[[#This Row],[Delta planned risk amount vs. YTD gap]]&lt;0,Table15[[#This Row],[Initial planned risk amount]]+Table15[[#This Row],[Delta planned risk amount vs. YTD gap]],Table15[[#This Row],[Delta planned risk amount vs. YTD gap]]&gt;0,Table15[[#This Row],[Initial planned risk amount]]+Table15[[#This Row],[Delta planned risk amount vs. YTD gap]])</f>
        <v>420000</v>
      </c>
    </row>
    <row r="103" spans="2:12">
      <c r="B103" s="96" t="s">
        <v>304</v>
      </c>
      <c r="C103" s="97">
        <f>SUBTOTAL(9,C51:C102)</f>
        <v>5095188.7182652866</v>
      </c>
      <c r="D103" s="97">
        <f>SUBTOTAL(9,D51:D102)</f>
        <v>7848729.1172038447</v>
      </c>
      <c r="E103" s="97">
        <f>SUBTOTAL(9,E51:E102)</f>
        <v>2753540.398938559</v>
      </c>
      <c r="F103" s="96"/>
      <c r="G103" s="97">
        <f>SUBTOTAL(9,G51:G102)</f>
        <v>4058462.4221181334</v>
      </c>
      <c r="H103" s="97">
        <f>SUBTOTAL(9,H51:H102)</f>
        <v>-1304922.0231795749</v>
      </c>
      <c r="I103" s="96"/>
      <c r="J103" s="96"/>
      <c r="K103" s="97">
        <f>SUBTOTAL(9,K51:K102)</f>
        <v>258614.9502511262</v>
      </c>
      <c r="L103" s="97">
        <f>SUBTOTAL(9,L51:L102)</f>
        <v>2753540.398938559</v>
      </c>
    </row>
    <row r="104" spans="2:12">
      <c r="E104" s="1"/>
    </row>
    <row r="105" spans="2:12">
      <c r="E105" s="1">
        <f>C103+E103</f>
        <v>7848729.1172038456</v>
      </c>
      <c r="G105" s="1"/>
      <c r="K105" s="1"/>
    </row>
    <row r="106" spans="2:12">
      <c r="E106" s="1"/>
      <c r="G106" s="1"/>
      <c r="H106" s="1"/>
      <c r="L106" s="1">
        <f>L103+C103</f>
        <v>7848729.1172038456</v>
      </c>
    </row>
    <row r="107" spans="2:12">
      <c r="E107" s="1"/>
      <c r="G107" s="1"/>
      <c r="H107" s="1"/>
    </row>
    <row r="108" spans="2:12">
      <c r="B108" s="9" t="s">
        <v>305</v>
      </c>
      <c r="C108" t="s">
        <v>306</v>
      </c>
      <c r="D108" t="s">
        <v>307</v>
      </c>
      <c r="E108" t="s">
        <v>308</v>
      </c>
    </row>
    <row r="109" spans="2:12">
      <c r="B109" s="10" t="s">
        <v>291</v>
      </c>
      <c r="C109" s="1">
        <v>127605</v>
      </c>
      <c r="D109" s="1">
        <v>113000.0000000001</v>
      </c>
      <c r="E109" s="1">
        <v>14604.999999999898</v>
      </c>
    </row>
    <row r="110" spans="2:12">
      <c r="B110" s="72" t="s">
        <v>157</v>
      </c>
      <c r="C110" s="1">
        <v>127605</v>
      </c>
      <c r="D110" s="1">
        <v>113000.0000000001</v>
      </c>
      <c r="E110" s="1">
        <v>14604.999999999898</v>
      </c>
    </row>
    <row r="111" spans="2:12">
      <c r="B111" s="10" t="s">
        <v>294</v>
      </c>
      <c r="C111" s="1">
        <v>423141.942028986</v>
      </c>
      <c r="D111" s="1">
        <v>423141.91304347821</v>
      </c>
      <c r="E111" s="1">
        <v>2.8985507786273956E-2</v>
      </c>
    </row>
    <row r="112" spans="2:12">
      <c r="B112" s="72" t="s">
        <v>84</v>
      </c>
      <c r="C112" s="1">
        <v>423141.942028986</v>
      </c>
      <c r="D112" s="1">
        <v>423141.91304347821</v>
      </c>
      <c r="E112" s="1">
        <v>2.8985507786273956E-2</v>
      </c>
    </row>
    <row r="113" spans="2:6">
      <c r="B113" s="10" t="s">
        <v>259</v>
      </c>
      <c r="C113" s="1"/>
      <c r="D113" s="1">
        <v>50000</v>
      </c>
      <c r="E113" s="1">
        <v>0</v>
      </c>
      <c r="F113" s="1"/>
    </row>
    <row r="114" spans="2:6">
      <c r="B114" s="72" t="s">
        <v>43</v>
      </c>
      <c r="C114" s="1"/>
      <c r="D114" s="1">
        <v>50000</v>
      </c>
      <c r="E114" s="1">
        <v>0</v>
      </c>
      <c r="F114" s="1"/>
    </row>
    <row r="115" spans="2:6">
      <c r="B115" s="10" t="s">
        <v>227</v>
      </c>
      <c r="C115" s="1">
        <v>400000</v>
      </c>
      <c r="D115" s="1">
        <v>400000</v>
      </c>
      <c r="E115" s="1">
        <v>0</v>
      </c>
      <c r="F115" s="1"/>
    </row>
    <row r="116" spans="2:6">
      <c r="B116" s="72" t="s">
        <v>46</v>
      </c>
      <c r="C116" s="1">
        <v>400000</v>
      </c>
      <c r="D116" s="1">
        <v>400000</v>
      </c>
      <c r="E116" s="1">
        <v>0</v>
      </c>
      <c r="F116" s="1"/>
    </row>
    <row r="117" spans="2:6">
      <c r="B117" s="10" t="s">
        <v>228</v>
      </c>
      <c r="C117" s="1">
        <v>330000</v>
      </c>
      <c r="D117" s="1">
        <v>330000</v>
      </c>
      <c r="E117" s="1">
        <v>0</v>
      </c>
      <c r="F117" s="1"/>
    </row>
    <row r="118" spans="2:6">
      <c r="B118" s="72" t="s">
        <v>41</v>
      </c>
      <c r="C118" s="1">
        <v>330000</v>
      </c>
      <c r="D118" s="1">
        <v>330000</v>
      </c>
      <c r="E118" s="1">
        <v>0</v>
      </c>
      <c r="F118" s="1"/>
    </row>
    <row r="119" spans="2:6">
      <c r="B119" s="10" t="s">
        <v>258</v>
      </c>
      <c r="C119" s="1"/>
      <c r="D119" s="1">
        <v>60000</v>
      </c>
      <c r="E119" s="1">
        <v>0</v>
      </c>
      <c r="F119" s="1"/>
    </row>
    <row r="120" spans="2:6">
      <c r="B120" s="72" t="s">
        <v>43</v>
      </c>
      <c r="C120" s="1"/>
      <c r="D120" s="1">
        <v>60000</v>
      </c>
      <c r="E120" s="1">
        <v>0</v>
      </c>
      <c r="F120" s="1"/>
    </row>
    <row r="121" spans="2:6">
      <c r="B121" s="10" t="s">
        <v>256</v>
      </c>
      <c r="C121" s="1"/>
      <c r="D121" s="1">
        <v>170000</v>
      </c>
      <c r="E121" s="1">
        <v>0</v>
      </c>
      <c r="F121" s="1"/>
    </row>
    <row r="122" spans="2:6">
      <c r="B122" s="72" t="s">
        <v>43</v>
      </c>
      <c r="C122" s="1"/>
      <c r="D122" s="1">
        <v>170000</v>
      </c>
      <c r="E122" s="1">
        <v>0</v>
      </c>
      <c r="F122" s="1"/>
    </row>
    <row r="123" spans="2:6">
      <c r="B123" s="10" t="s">
        <v>223</v>
      </c>
      <c r="C123" s="1"/>
      <c r="D123" s="1">
        <v>420000</v>
      </c>
      <c r="E123" s="1">
        <v>0</v>
      </c>
      <c r="F123" s="1"/>
    </row>
    <row r="124" spans="2:6">
      <c r="B124" s="72" t="s">
        <v>43</v>
      </c>
      <c r="C124" s="1"/>
      <c r="D124" s="1">
        <v>420000</v>
      </c>
      <c r="E124" s="1">
        <v>0</v>
      </c>
      <c r="F124" s="1"/>
    </row>
    <row r="125" spans="2:6">
      <c r="B125" s="10" t="s">
        <v>285</v>
      </c>
      <c r="C125" s="1">
        <v>343003.95025112602</v>
      </c>
      <c r="D125" s="1">
        <v>343003.95025112602</v>
      </c>
      <c r="E125" s="1">
        <v>0</v>
      </c>
      <c r="F125" s="1"/>
    </row>
    <row r="126" spans="2:6">
      <c r="B126" s="72" t="s">
        <v>203</v>
      </c>
      <c r="C126" s="1">
        <v>343003.95025112602</v>
      </c>
      <c r="D126" s="1">
        <v>343003.95025112602</v>
      </c>
      <c r="E126" s="1">
        <v>0</v>
      </c>
    </row>
    <row r="127" spans="2:6">
      <c r="B127" s="10" t="s">
        <v>250</v>
      </c>
      <c r="C127" s="1"/>
      <c r="D127" s="1">
        <v>50000</v>
      </c>
      <c r="E127" s="1">
        <v>0</v>
      </c>
    </row>
    <row r="128" spans="2:6">
      <c r="B128" s="72" t="s">
        <v>43</v>
      </c>
      <c r="C128" s="1"/>
      <c r="D128" s="1">
        <v>50000</v>
      </c>
      <c r="E128" s="1">
        <v>0</v>
      </c>
    </row>
    <row r="129" spans="2:5">
      <c r="B129" s="10" t="s">
        <v>261</v>
      </c>
      <c r="C129" s="1"/>
      <c r="D129" s="1">
        <v>10000</v>
      </c>
      <c r="E129" s="1">
        <v>0</v>
      </c>
    </row>
    <row r="130" spans="2:5">
      <c r="B130" s="72" t="s">
        <v>43</v>
      </c>
      <c r="C130" s="1"/>
      <c r="D130" s="1">
        <v>10000</v>
      </c>
      <c r="E130" s="1">
        <v>0</v>
      </c>
    </row>
    <row r="131" spans="2:5">
      <c r="B131" s="10" t="s">
        <v>237</v>
      </c>
      <c r="C131" s="1"/>
      <c r="D131" s="1">
        <v>100000</v>
      </c>
      <c r="E131" s="1">
        <v>0</v>
      </c>
    </row>
    <row r="132" spans="2:5">
      <c r="B132" s="72" t="s">
        <v>43</v>
      </c>
      <c r="C132" s="1"/>
      <c r="D132" s="1">
        <v>100000</v>
      </c>
      <c r="E132" s="1">
        <v>0</v>
      </c>
    </row>
    <row r="133" spans="2:5">
      <c r="B133" s="10" t="s">
        <v>234</v>
      </c>
      <c r="C133" s="1"/>
      <c r="D133" s="1">
        <v>230000</v>
      </c>
      <c r="E133" s="1">
        <v>0</v>
      </c>
    </row>
    <row r="134" spans="2:5">
      <c r="B134" s="72" t="s">
        <v>43</v>
      </c>
      <c r="C134" s="1"/>
      <c r="D134" s="1">
        <v>230000</v>
      </c>
      <c r="E134" s="1">
        <v>0</v>
      </c>
    </row>
    <row r="135" spans="2:5">
      <c r="B135" s="10" t="s">
        <v>248</v>
      </c>
      <c r="C135" s="1"/>
      <c r="D135" s="1">
        <v>100000</v>
      </c>
      <c r="E135" s="1">
        <v>0</v>
      </c>
    </row>
    <row r="136" spans="2:5">
      <c r="B136" s="72" t="s">
        <v>43</v>
      </c>
      <c r="C136" s="1"/>
      <c r="D136" s="1">
        <v>100000</v>
      </c>
      <c r="E136" s="1">
        <v>0</v>
      </c>
    </row>
    <row r="137" spans="2:5">
      <c r="B137" s="10" t="s">
        <v>43</v>
      </c>
      <c r="C137" s="1">
        <v>-0.41800000006332994</v>
      </c>
      <c r="D137" s="1"/>
      <c r="E137" s="1">
        <v>-0.41800000006332994</v>
      </c>
    </row>
    <row r="138" spans="2:5">
      <c r="B138" s="72" t="s">
        <v>174</v>
      </c>
      <c r="C138" s="1">
        <v>0</v>
      </c>
      <c r="D138" s="1"/>
      <c r="E138" s="1">
        <v>0</v>
      </c>
    </row>
    <row r="139" spans="2:5">
      <c r="B139" s="72" t="s">
        <v>139</v>
      </c>
      <c r="C139" s="1">
        <v>-0.41800000006332994</v>
      </c>
      <c r="D139" s="1"/>
      <c r="E139" s="1">
        <v>-0.41800000006332994</v>
      </c>
    </row>
    <row r="140" spans="2:5">
      <c r="B140" s="72" t="s">
        <v>129</v>
      </c>
      <c r="C140" s="1">
        <v>0</v>
      </c>
      <c r="D140" s="1"/>
      <c r="E140" s="1">
        <v>0</v>
      </c>
    </row>
    <row r="141" spans="2:5">
      <c r="B141" s="72" t="s">
        <v>171</v>
      </c>
      <c r="C141" s="1">
        <v>0</v>
      </c>
      <c r="D141" s="1"/>
      <c r="E141" s="1">
        <v>0</v>
      </c>
    </row>
    <row r="142" spans="2:5">
      <c r="B142" s="72" t="s">
        <v>151</v>
      </c>
      <c r="C142" s="1">
        <v>0</v>
      </c>
      <c r="D142" s="1"/>
      <c r="E142" s="1">
        <v>0</v>
      </c>
    </row>
    <row r="143" spans="2:5">
      <c r="B143" s="72" t="s">
        <v>154</v>
      </c>
      <c r="C143" s="1">
        <v>0</v>
      </c>
      <c r="D143" s="1"/>
      <c r="E143" s="1">
        <v>0</v>
      </c>
    </row>
    <row r="144" spans="2:5">
      <c r="B144" s="72" t="s">
        <v>77</v>
      </c>
      <c r="C144" s="1">
        <v>0</v>
      </c>
      <c r="D144" s="1"/>
      <c r="E144" s="1">
        <v>0</v>
      </c>
    </row>
    <row r="145" spans="2:5">
      <c r="B145" s="72" t="s">
        <v>202</v>
      </c>
      <c r="C145" s="1">
        <v>0</v>
      </c>
      <c r="D145" s="1"/>
      <c r="E145" s="1">
        <v>0</v>
      </c>
    </row>
    <row r="146" spans="2:5">
      <c r="B146" s="72" t="s">
        <v>50</v>
      </c>
      <c r="C146" s="1">
        <v>0</v>
      </c>
      <c r="D146" s="1"/>
      <c r="E146" s="1">
        <v>0</v>
      </c>
    </row>
    <row r="147" spans="2:5">
      <c r="B147" s="72" t="s">
        <v>80</v>
      </c>
      <c r="C147" s="1">
        <v>0</v>
      </c>
      <c r="D147" s="1"/>
      <c r="E147" s="1">
        <v>0</v>
      </c>
    </row>
    <row r="148" spans="2:5">
      <c r="B148" s="10" t="s">
        <v>298</v>
      </c>
      <c r="C148" s="1">
        <v>-3129.633333333335</v>
      </c>
      <c r="D148" s="1">
        <v>30000</v>
      </c>
      <c r="E148" s="1">
        <v>-33129.633333333331</v>
      </c>
    </row>
    <row r="149" spans="2:5">
      <c r="B149" s="72" t="s">
        <v>182</v>
      </c>
      <c r="C149" s="1">
        <v>-3129.633333333335</v>
      </c>
      <c r="D149" s="1">
        <v>30000</v>
      </c>
      <c r="E149" s="1">
        <v>-33129.633333333331</v>
      </c>
    </row>
    <row r="150" spans="2:5">
      <c r="B150" s="10" t="s">
        <v>293</v>
      </c>
      <c r="C150" s="1">
        <v>1669.2168807843263</v>
      </c>
      <c r="D150" s="1">
        <v>40717.892156862748</v>
      </c>
      <c r="E150" s="1">
        <v>-39048.675276078422</v>
      </c>
    </row>
    <row r="151" spans="2:5">
      <c r="B151" s="72" t="s">
        <v>115</v>
      </c>
      <c r="C151" s="1">
        <v>1669.2168807843263</v>
      </c>
      <c r="D151" s="1">
        <v>40717.892156862748</v>
      </c>
      <c r="E151" s="1">
        <v>-39048.675276078422</v>
      </c>
    </row>
    <row r="152" spans="2:5">
      <c r="B152" s="10" t="s">
        <v>297</v>
      </c>
      <c r="C152" s="1">
        <v>-2094.6644800000213</v>
      </c>
      <c r="D152" s="1">
        <v>78598.666666666672</v>
      </c>
      <c r="E152" s="1">
        <v>-80693.331146666693</v>
      </c>
    </row>
    <row r="153" spans="2:5">
      <c r="B153" s="72" t="s">
        <v>97</v>
      </c>
      <c r="C153" s="1">
        <v>-2094.6644800000213</v>
      </c>
      <c r="D153" s="1">
        <v>78598.666666666672</v>
      </c>
      <c r="E153" s="1">
        <v>-80693.331146666693</v>
      </c>
    </row>
    <row r="154" spans="2:5">
      <c r="B154" s="10" t="s">
        <v>302</v>
      </c>
      <c r="C154" s="1">
        <v>-25864.989999999991</v>
      </c>
      <c r="D154" s="1">
        <v>67500</v>
      </c>
      <c r="E154" s="1">
        <v>-93364.989999999991</v>
      </c>
    </row>
    <row r="155" spans="2:5">
      <c r="B155" s="72" t="s">
        <v>58</v>
      </c>
      <c r="C155" s="1">
        <v>-25864.989999999991</v>
      </c>
      <c r="D155" s="1">
        <v>67500</v>
      </c>
      <c r="E155" s="1">
        <v>-93364.989999999991</v>
      </c>
    </row>
    <row r="156" spans="2:5">
      <c r="B156" s="10" t="s">
        <v>299</v>
      </c>
      <c r="C156" s="1">
        <v>-6250</v>
      </c>
      <c r="D156" s="1">
        <v>100000</v>
      </c>
      <c r="E156" s="1">
        <v>-106250</v>
      </c>
    </row>
    <row r="157" spans="2:5">
      <c r="B157" s="72" t="s">
        <v>107</v>
      </c>
      <c r="C157" s="1">
        <v>-6250</v>
      </c>
      <c r="D157" s="1">
        <v>100000</v>
      </c>
      <c r="E157" s="1">
        <v>-106250</v>
      </c>
    </row>
    <row r="158" spans="2:5">
      <c r="B158" s="10" t="s">
        <v>300</v>
      </c>
      <c r="C158" s="1">
        <v>-6250</v>
      </c>
      <c r="D158" s="1">
        <v>100000</v>
      </c>
      <c r="E158" s="1">
        <v>-106250</v>
      </c>
    </row>
    <row r="159" spans="2:5">
      <c r="B159" s="72" t="s">
        <v>113</v>
      </c>
      <c r="C159" s="1">
        <v>-6250</v>
      </c>
      <c r="D159" s="1">
        <v>100000</v>
      </c>
      <c r="E159" s="1">
        <v>-106250</v>
      </c>
    </row>
    <row r="160" spans="2:5">
      <c r="B160" s="10" t="s">
        <v>288</v>
      </c>
      <c r="C160" s="1">
        <v>145500</v>
      </c>
      <c r="D160" s="1">
        <v>292500</v>
      </c>
      <c r="E160" s="1">
        <v>-147000</v>
      </c>
    </row>
    <row r="161" spans="2:5">
      <c r="B161" s="72" t="s">
        <v>164</v>
      </c>
      <c r="C161" s="1">
        <v>152000.00000000012</v>
      </c>
      <c r="D161" s="1"/>
      <c r="E161" s="1">
        <v>152000.00000000012</v>
      </c>
    </row>
    <row r="162" spans="2:5">
      <c r="B162" s="72" t="s">
        <v>169</v>
      </c>
      <c r="C162" s="1">
        <v>141499.99999999988</v>
      </c>
      <c r="D162" s="1">
        <v>292500</v>
      </c>
      <c r="E162" s="1">
        <v>-151000.00000000012</v>
      </c>
    </row>
    <row r="163" spans="2:5">
      <c r="B163" s="72" t="s">
        <v>88</v>
      </c>
      <c r="C163" s="1">
        <v>-148000</v>
      </c>
      <c r="D163" s="1"/>
      <c r="E163" s="1">
        <v>-148000</v>
      </c>
    </row>
    <row r="164" spans="2:5">
      <c r="B164" s="10" t="s">
        <v>292</v>
      </c>
      <c r="C164" s="1">
        <v>-153790.00440900394</v>
      </c>
      <c r="D164" s="1"/>
      <c r="E164" s="1">
        <v>-153790.00440900394</v>
      </c>
    </row>
    <row r="165" spans="2:5">
      <c r="B165" s="72" t="s">
        <v>177</v>
      </c>
      <c r="C165" s="1">
        <v>-11750.525546666671</v>
      </c>
      <c r="D165" s="1"/>
      <c r="E165" s="1">
        <v>-11750.525546666671</v>
      </c>
    </row>
    <row r="166" spans="2:5">
      <c r="B166" s="72" t="s">
        <v>144</v>
      </c>
      <c r="C166" s="1">
        <v>-119587.97020245995</v>
      </c>
      <c r="D166" s="1"/>
      <c r="E166" s="1">
        <v>-119587.97020245995</v>
      </c>
    </row>
    <row r="167" spans="2:5">
      <c r="B167" s="72" t="s">
        <v>149</v>
      </c>
      <c r="C167" s="1">
        <v>-41395.729199999943</v>
      </c>
      <c r="D167" s="1"/>
      <c r="E167" s="1">
        <v>-41395.729199999943</v>
      </c>
    </row>
    <row r="168" spans="2:5">
      <c r="B168" s="72" t="s">
        <v>183</v>
      </c>
      <c r="C168" s="1">
        <v>20893.22229333334</v>
      </c>
      <c r="D168" s="1"/>
      <c r="E168" s="1">
        <v>20893.22229333334</v>
      </c>
    </row>
    <row r="169" spans="2:5">
      <c r="B169" s="72" t="s">
        <v>187</v>
      </c>
      <c r="C169" s="1">
        <v>-695.60580095199111</v>
      </c>
      <c r="D169" s="1"/>
      <c r="E169" s="1">
        <v>-695.60580095199111</v>
      </c>
    </row>
    <row r="170" spans="2:5">
      <c r="B170" s="72" t="s">
        <v>190</v>
      </c>
      <c r="C170" s="1">
        <v>30511.359786666697</v>
      </c>
      <c r="D170" s="1"/>
      <c r="E170" s="1">
        <v>30511.359786666697</v>
      </c>
    </row>
    <row r="171" spans="2:5">
      <c r="B171" s="72" t="s">
        <v>120</v>
      </c>
      <c r="C171" s="1">
        <v>-1251.7951413799965</v>
      </c>
      <c r="D171" s="1"/>
      <c r="E171" s="1">
        <v>-1251.7951413799965</v>
      </c>
    </row>
    <row r="172" spans="2:5">
      <c r="B172" s="72" t="s">
        <v>196</v>
      </c>
      <c r="C172" s="1">
        <v>-397.90983999999298</v>
      </c>
      <c r="D172" s="1"/>
      <c r="E172" s="1">
        <v>-397.90983999999298</v>
      </c>
    </row>
    <row r="173" spans="2:5">
      <c r="B173" s="72" t="s">
        <v>200</v>
      </c>
      <c r="C173" s="1">
        <v>3978.6136800000095</v>
      </c>
      <c r="D173" s="1"/>
      <c r="E173" s="1">
        <v>3978.6136800000095</v>
      </c>
    </row>
    <row r="174" spans="2:5">
      <c r="B174" s="72" t="s">
        <v>134</v>
      </c>
      <c r="C174" s="1">
        <v>2444.0260000000417</v>
      </c>
      <c r="D174" s="1"/>
      <c r="E174" s="1">
        <v>2444.0260000000417</v>
      </c>
    </row>
    <row r="175" spans="2:5">
      <c r="B175" s="72" t="s">
        <v>64</v>
      </c>
      <c r="C175" s="1">
        <v>-20345.272467618655</v>
      </c>
      <c r="D175" s="1"/>
      <c r="E175" s="1">
        <v>-20345.272467618655</v>
      </c>
    </row>
    <row r="176" spans="2:5">
      <c r="B176" s="72" t="s">
        <v>122</v>
      </c>
      <c r="C176" s="1">
        <v>9818.6681333333363</v>
      </c>
      <c r="D176" s="1"/>
      <c r="E176" s="1">
        <v>9818.6681333333363</v>
      </c>
    </row>
    <row r="177" spans="2:5">
      <c r="B177" s="72" t="s">
        <v>101</v>
      </c>
      <c r="C177" s="1">
        <v>2278.0224010457605</v>
      </c>
      <c r="D177" s="1"/>
      <c r="E177" s="1">
        <v>2278.0224010457605</v>
      </c>
    </row>
    <row r="178" spans="2:5">
      <c r="B178" s="72" t="s">
        <v>125</v>
      </c>
      <c r="C178" s="1">
        <v>-236.22971954400418</v>
      </c>
      <c r="D178" s="1"/>
      <c r="E178" s="1">
        <v>-236.22971954400418</v>
      </c>
    </row>
    <row r="179" spans="2:5">
      <c r="B179" s="72" t="s">
        <v>93</v>
      </c>
      <c r="C179" s="1">
        <v>-24120.228571428583</v>
      </c>
      <c r="D179" s="1"/>
      <c r="E179" s="1">
        <v>-24120.228571428583</v>
      </c>
    </row>
    <row r="180" spans="2:5">
      <c r="B180" s="72" t="s">
        <v>194</v>
      </c>
      <c r="C180" s="1">
        <v>74.249999999970896</v>
      </c>
      <c r="D180" s="1"/>
      <c r="E180" s="1">
        <v>74.249999999970896</v>
      </c>
    </row>
    <row r="181" spans="2:5">
      <c r="B181" s="72" t="s">
        <v>179</v>
      </c>
      <c r="C181" s="1">
        <v>-4006.9002133333342</v>
      </c>
      <c r="D181" s="1"/>
      <c r="E181" s="1">
        <v>-4006.9002133333342</v>
      </c>
    </row>
    <row r="182" spans="2:5">
      <c r="B182" s="10" t="s">
        <v>296</v>
      </c>
      <c r="C182" s="1">
        <v>0</v>
      </c>
      <c r="D182" s="1">
        <v>250000</v>
      </c>
      <c r="E182" s="1">
        <v>-250000</v>
      </c>
    </row>
    <row r="183" spans="2:5">
      <c r="B183" s="72" t="s">
        <v>52</v>
      </c>
      <c r="C183" s="1">
        <v>0</v>
      </c>
      <c r="D183" s="1">
        <v>250000</v>
      </c>
      <c r="E183" s="1">
        <v>-250000</v>
      </c>
    </row>
    <row r="184" spans="2:5">
      <c r="B184" s="10" t="s">
        <v>301</v>
      </c>
      <c r="C184" s="1">
        <v>-10000</v>
      </c>
      <c r="D184" s="1">
        <v>300000.00000000017</v>
      </c>
      <c r="E184" s="1">
        <v>-310000.00000000017</v>
      </c>
    </row>
    <row r="185" spans="2:5">
      <c r="B185" s="72" t="s">
        <v>161</v>
      </c>
      <c r="C185" s="1">
        <v>-10000</v>
      </c>
      <c r="D185" s="1">
        <v>300000.00000000017</v>
      </c>
      <c r="E185" s="1">
        <v>-310000.00000000017</v>
      </c>
    </row>
    <row r="186" spans="2:5">
      <c r="B186" s="10" t="s">
        <v>304</v>
      </c>
      <c r="C186" s="1">
        <v>1563540.3989385588</v>
      </c>
      <c r="D186" s="1">
        <v>4058462.4221181339</v>
      </c>
      <c r="E186" s="1">
        <v>-1304922.0231795751</v>
      </c>
    </row>
    <row r="204" spans="2:6">
      <c r="B204" s="9" t="s">
        <v>208</v>
      </c>
      <c r="C204" t="s">
        <v>306</v>
      </c>
      <c r="D204" t="s">
        <v>307</v>
      </c>
      <c r="E204" t="s">
        <v>308</v>
      </c>
      <c r="F204" t="s">
        <v>309</v>
      </c>
    </row>
    <row r="205" spans="2:6">
      <c r="B205" s="10" t="s">
        <v>284</v>
      </c>
      <c r="C205" s="1">
        <v>1092931.8666874329</v>
      </c>
      <c r="D205" s="1">
        <v>3492458.4718670081</v>
      </c>
      <c r="E205" s="1">
        <v>-1319526.6051795748</v>
      </c>
      <c r="F205" s="1"/>
    </row>
    <row r="206" spans="2:6">
      <c r="B206" s="72" t="s">
        <v>258</v>
      </c>
      <c r="C206" s="1"/>
      <c r="D206" s="1">
        <v>60000</v>
      </c>
      <c r="E206" s="1">
        <v>0</v>
      </c>
      <c r="F206" s="1"/>
    </row>
    <row r="207" spans="2:6">
      <c r="B207" s="72" t="s">
        <v>296</v>
      </c>
      <c r="C207" s="1">
        <v>0</v>
      </c>
      <c r="D207" s="1">
        <v>250000</v>
      </c>
      <c r="E207" s="1">
        <v>-250000</v>
      </c>
      <c r="F207" s="1"/>
    </row>
    <row r="208" spans="2:6">
      <c r="B208" s="72" t="s">
        <v>302</v>
      </c>
      <c r="C208" s="1">
        <v>-25864.989999999991</v>
      </c>
      <c r="D208" s="1">
        <v>67500</v>
      </c>
      <c r="E208" s="1">
        <v>-93364.989999999991</v>
      </c>
      <c r="F208" s="1"/>
    </row>
    <row r="209" spans="2:6">
      <c r="B209" s="72" t="s">
        <v>294</v>
      </c>
      <c r="C209" s="1">
        <v>423141.942028986</v>
      </c>
      <c r="D209" s="1">
        <v>423141.91304347821</v>
      </c>
      <c r="E209" s="1">
        <v>2.8985507786273956E-2</v>
      </c>
      <c r="F209" s="1"/>
    </row>
    <row r="210" spans="2:6">
      <c r="B210" s="72" t="s">
        <v>297</v>
      </c>
      <c r="C210" s="1">
        <v>-2094.6644800000213</v>
      </c>
      <c r="D210" s="1">
        <v>78598.666666666672</v>
      </c>
      <c r="E210" s="1">
        <v>-80693.331146666693</v>
      </c>
      <c r="F210" s="1"/>
    </row>
    <row r="211" spans="2:6">
      <c r="B211" s="72" t="s">
        <v>298</v>
      </c>
      <c r="C211" s="1">
        <v>-3129.633333333335</v>
      </c>
      <c r="D211" s="1">
        <v>30000</v>
      </c>
      <c r="E211" s="1">
        <v>-33129.633333333331</v>
      </c>
      <c r="F211" s="1"/>
    </row>
    <row r="212" spans="2:6">
      <c r="B212" s="72" t="s">
        <v>293</v>
      </c>
      <c r="C212" s="1">
        <v>1669.2168807843263</v>
      </c>
      <c r="D212" s="1">
        <v>40717.892156862748</v>
      </c>
      <c r="E212" s="1">
        <v>-39048.675276078422</v>
      </c>
      <c r="F212" s="1"/>
    </row>
    <row r="213" spans="2:6">
      <c r="B213" s="72" t="s">
        <v>301</v>
      </c>
      <c r="C213" s="1">
        <v>-10000</v>
      </c>
      <c r="D213" s="1">
        <v>300000.00000000017</v>
      </c>
      <c r="E213" s="1">
        <v>-310000.00000000017</v>
      </c>
      <c r="F213" s="1"/>
    </row>
    <row r="214" spans="2:6">
      <c r="B214" s="72" t="s">
        <v>299</v>
      </c>
      <c r="C214" s="1">
        <v>-6250</v>
      </c>
      <c r="D214" s="1">
        <v>100000</v>
      </c>
      <c r="E214" s="1">
        <v>-106250</v>
      </c>
      <c r="F214" s="1"/>
    </row>
    <row r="215" spans="2:6">
      <c r="B215" s="72" t="s">
        <v>300</v>
      </c>
      <c r="C215" s="1">
        <v>-6250</v>
      </c>
      <c r="D215" s="1">
        <v>100000</v>
      </c>
      <c r="E215" s="1">
        <v>-106250</v>
      </c>
      <c r="F215" s="1"/>
    </row>
    <row r="216" spans="2:6">
      <c r="B216" s="72" t="s">
        <v>288</v>
      </c>
      <c r="C216" s="1">
        <v>145500</v>
      </c>
      <c r="D216" s="1">
        <v>292500</v>
      </c>
      <c r="E216" s="1">
        <v>-147000</v>
      </c>
      <c r="F216" s="1"/>
    </row>
    <row r="217" spans="2:6">
      <c r="B217" s="72" t="s">
        <v>227</v>
      </c>
      <c r="C217" s="1">
        <v>400000</v>
      </c>
      <c r="D217" s="1">
        <v>400000</v>
      </c>
      <c r="E217" s="1">
        <v>0</v>
      </c>
      <c r="F217" s="1"/>
    </row>
    <row r="218" spans="2:6">
      <c r="B218" s="72" t="s">
        <v>256</v>
      </c>
      <c r="C218" s="1"/>
      <c r="D218" s="1">
        <v>170000</v>
      </c>
      <c r="E218" s="1">
        <v>0</v>
      </c>
      <c r="F218" s="1"/>
    </row>
    <row r="219" spans="2:6">
      <c r="B219" s="72" t="s">
        <v>292</v>
      </c>
      <c r="C219" s="1">
        <v>-153790.00440900397</v>
      </c>
      <c r="D219" s="1"/>
      <c r="E219" s="1">
        <v>-153790.00440900397</v>
      </c>
      <c r="F219" s="1"/>
    </row>
    <row r="220" spans="2:6">
      <c r="B220" s="72" t="s">
        <v>259</v>
      </c>
      <c r="C220" s="1"/>
      <c r="D220" s="1">
        <v>50000</v>
      </c>
      <c r="E220" s="1">
        <v>0</v>
      </c>
      <c r="F220" s="1"/>
    </row>
    <row r="221" spans="2:6">
      <c r="B221" s="72" t="s">
        <v>223</v>
      </c>
      <c r="C221" s="1"/>
      <c r="D221" s="1">
        <v>420000</v>
      </c>
      <c r="E221" s="1">
        <v>0</v>
      </c>
      <c r="F221" s="1"/>
    </row>
    <row r="222" spans="2:6">
      <c r="B222" s="72" t="s">
        <v>250</v>
      </c>
      <c r="C222" s="1"/>
      <c r="D222" s="1">
        <v>50000</v>
      </c>
      <c r="E222" s="1">
        <v>0</v>
      </c>
      <c r="F222" s="1"/>
    </row>
    <row r="223" spans="2:6">
      <c r="B223" s="72" t="s">
        <v>228</v>
      </c>
      <c r="C223" s="1">
        <v>330000</v>
      </c>
      <c r="D223" s="1">
        <v>330000</v>
      </c>
      <c r="E223" s="1">
        <v>0</v>
      </c>
      <c r="F223" s="1"/>
    </row>
    <row r="224" spans="2:6">
      <c r="B224" s="72" t="s">
        <v>234</v>
      </c>
      <c r="C224" s="1"/>
      <c r="D224" s="1">
        <v>230000</v>
      </c>
      <c r="E224" s="1">
        <v>0</v>
      </c>
      <c r="F224" s="1"/>
    </row>
    <row r="225" spans="2:6">
      <c r="B225" s="72" t="s">
        <v>237</v>
      </c>
      <c r="C225" s="1"/>
      <c r="D225" s="1">
        <v>100000</v>
      </c>
      <c r="E225" s="1">
        <v>0</v>
      </c>
      <c r="F225" s="1"/>
    </row>
    <row r="226" spans="2:6">
      <c r="B226" s="10" t="s">
        <v>287</v>
      </c>
      <c r="C226" s="1">
        <v>470608.95025112602</v>
      </c>
      <c r="D226" s="1">
        <v>566003.95025112608</v>
      </c>
      <c r="E226" s="1">
        <v>14604.999999999898</v>
      </c>
      <c r="F226" s="1">
        <v>258614.9502511262</v>
      </c>
    </row>
    <row r="227" spans="2:6">
      <c r="B227" s="72" t="s">
        <v>248</v>
      </c>
      <c r="C227" s="1"/>
      <c r="D227" s="1">
        <v>100000</v>
      </c>
      <c r="E227" s="1">
        <v>0</v>
      </c>
      <c r="F227" s="1">
        <v>50000</v>
      </c>
    </row>
    <row r="228" spans="2:6">
      <c r="B228" s="72" t="s">
        <v>285</v>
      </c>
      <c r="C228" s="1">
        <v>343003.95025112602</v>
      </c>
      <c r="D228" s="1">
        <v>343003.95025112602</v>
      </c>
      <c r="E228" s="1">
        <v>0</v>
      </c>
      <c r="F228" s="1">
        <v>56009.950251126196</v>
      </c>
    </row>
    <row r="229" spans="2:6">
      <c r="B229" s="72" t="s">
        <v>291</v>
      </c>
      <c r="C229" s="1">
        <v>127605</v>
      </c>
      <c r="D229" s="1">
        <v>113000.0000000001</v>
      </c>
      <c r="E229" s="1">
        <v>14604.999999999898</v>
      </c>
      <c r="F229" s="1">
        <v>127605</v>
      </c>
    </row>
    <row r="230" spans="2:6">
      <c r="B230" s="72" t="s">
        <v>261</v>
      </c>
      <c r="C230" s="1"/>
      <c r="D230" s="1">
        <v>10000</v>
      </c>
      <c r="E230" s="1">
        <v>0</v>
      </c>
      <c r="F230" s="1">
        <v>25000</v>
      </c>
    </row>
    <row r="231" spans="2:6">
      <c r="B231" s="10" t="s">
        <v>304</v>
      </c>
      <c r="C231" s="1">
        <v>1563540.8169385588</v>
      </c>
      <c r="D231" s="1">
        <v>4058462.4221181343</v>
      </c>
      <c r="E231" s="1">
        <v>-1304921.6051795748</v>
      </c>
      <c r="F231" s="1">
        <v>258614.9502511262</v>
      </c>
    </row>
  </sheetData>
  <conditionalFormatting pivot="1" sqref="E109:E186">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3"/>
  <drawing r:id="rId4"/>
  <tableParts count="2">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74818-1394-4471-ACAF-2E5474304467}">
  <dimension ref="A1:AB23"/>
  <sheetViews>
    <sheetView zoomScaleNormal="100" workbookViewId="0">
      <selection activeCell="M15" sqref="M15"/>
    </sheetView>
  </sheetViews>
  <sheetFormatPr defaultColWidth="8.6640625" defaultRowHeight="14.4"/>
  <cols>
    <col min="1" max="1" width="53.5546875" bestFit="1" customWidth="1"/>
    <col min="2" max="2" width="10.33203125" bestFit="1" customWidth="1"/>
    <col min="3" max="13" width="11.6640625" bestFit="1" customWidth="1"/>
    <col min="14" max="14" width="10.33203125" bestFit="1" customWidth="1"/>
    <col min="17" max="23" width="12" bestFit="1" customWidth="1"/>
    <col min="24" max="24" width="9.88671875" bestFit="1" customWidth="1"/>
    <col min="25" max="25" width="10.33203125" bestFit="1" customWidth="1"/>
    <col min="26" max="26" width="10.109375" bestFit="1" customWidth="1"/>
  </cols>
  <sheetData>
    <row r="1" spans="1:28">
      <c r="B1" t="s">
        <v>310</v>
      </c>
      <c r="C1" t="s">
        <v>310</v>
      </c>
      <c r="D1" t="s">
        <v>0</v>
      </c>
      <c r="E1" t="s">
        <v>0</v>
      </c>
      <c r="F1" t="s">
        <v>0</v>
      </c>
      <c r="G1" t="s">
        <v>0</v>
      </c>
      <c r="H1" t="s">
        <v>0</v>
      </c>
      <c r="I1" t="s">
        <v>0</v>
      </c>
      <c r="J1" t="s">
        <v>0</v>
      </c>
      <c r="K1" t="s">
        <v>0</v>
      </c>
      <c r="L1" t="s">
        <v>0</v>
      </c>
      <c r="M1" t="s">
        <v>0</v>
      </c>
      <c r="Q1" t="s">
        <v>23</v>
      </c>
      <c r="R1" t="s">
        <v>24</v>
      </c>
      <c r="S1" t="s">
        <v>25</v>
      </c>
      <c r="T1" t="s">
        <v>26</v>
      </c>
      <c r="U1" t="s">
        <v>27</v>
      </c>
      <c r="V1" t="s">
        <v>28</v>
      </c>
      <c r="W1" t="s">
        <v>29</v>
      </c>
      <c r="X1" t="s">
        <v>30</v>
      </c>
      <c r="Y1" t="s">
        <v>31</v>
      </c>
      <c r="Z1" t="s">
        <v>32</v>
      </c>
    </row>
    <row r="2" spans="1:28">
      <c r="A2" t="s">
        <v>311</v>
      </c>
      <c r="B2" t="s">
        <v>312</v>
      </c>
      <c r="C2" t="s">
        <v>313</v>
      </c>
      <c r="D2" t="s">
        <v>314</v>
      </c>
      <c r="E2" t="s">
        <v>315</v>
      </c>
      <c r="F2" t="s">
        <v>316</v>
      </c>
      <c r="G2" t="s">
        <v>317</v>
      </c>
      <c r="H2" t="s">
        <v>318</v>
      </c>
      <c r="I2" t="s">
        <v>319</v>
      </c>
      <c r="J2" t="s">
        <v>320</v>
      </c>
      <c r="K2" t="s">
        <v>321</v>
      </c>
      <c r="L2" t="s">
        <v>322</v>
      </c>
      <c r="M2" t="s">
        <v>323</v>
      </c>
      <c r="Q2" s="1">
        <v>23333.333333333332</v>
      </c>
      <c r="R2" s="1">
        <v>23333.333333333332</v>
      </c>
      <c r="S2" s="1">
        <v>23333.333333333332</v>
      </c>
      <c r="T2" s="1">
        <v>23333.333333333332</v>
      </c>
      <c r="U2" s="1">
        <v>23333.333333333332</v>
      </c>
      <c r="V2" s="1">
        <v>23333.333333333332</v>
      </c>
      <c r="W2" s="1">
        <v>23333.333333333332</v>
      </c>
      <c r="AA2">
        <f>SUM(Q2:Z4)</f>
        <v>213333.33333333334</v>
      </c>
      <c r="AB2">
        <f>AA2/9</f>
        <v>23703.703703703704</v>
      </c>
    </row>
    <row r="3" spans="1:28">
      <c r="A3" t="s">
        <v>324</v>
      </c>
      <c r="B3" s="1">
        <f>SUMIF('BP2026_Archive (21Apr26)'!$C:$C,"=BM-00110021_002",'BP2026_Archive (21Apr26)'!W:W)+SUMIF('BP2026_Archive (21Apr26)'!$C:$C,"=BM-00110021_003",'BP2026_Archive (21Apr26)'!W:W)+SUMIF('BP2026_Archive (21Apr26)'!$C:$C,"=BM-00110021_004",'BP2026_Archive (21Apr26)'!W:W)+SUMIF('BP2026_Archive (21Apr26)'!$C:$C,"=BM-00110021_005",'BP2026_Archive (21Apr26)'!W:W)-SUMIF('BP2026_Archive (21Apr26)'!$H:$H,"=Manually added cost",'BP2026_Archive (21Apr26)'!W:W)</f>
        <v>216492.30074600002</v>
      </c>
      <c r="C3" s="1">
        <f>Table11[[#This Row],[Jan-26]]+SUMIF('BP2026_Archive (21Apr26)'!$C:$C,"=BM-00110021_002",'BP2026_Archive (21Apr26)'!X:X)+SUMIF('BP2026_Archive (21Apr26)'!$C:$C,"=BM-00110021_003",'BP2026_Archive (21Apr26)'!X:X)+SUMIF('BP2026_Archive (21Apr26)'!$C:$C,"=BM-00110021_004",'BP2026_Archive (21Apr26)'!X:X)+SUMIF('BP2026_Archive (21Apr26)'!$C:$C,"=BM-00110021_005",'BP2026_Archive (21Apr26)'!X:X)-SUMIF('BP2026_Archive (21Apr26)'!$H:$H,"=Manually added cost",'BP2026_Archive (21Apr26)'!X:X)</f>
        <v>540087.17543153791</v>
      </c>
      <c r="D3" s="1">
        <f>Table11[[#This Row],[Feb-26]]+SUMIF('BP2026_Archive (21Apr26)'!$C:$C,"=BM-00110021_002",'BP2026_Archive (21Apr26)'!Y:Y)+SUMIF('BP2026_Archive (21Apr26)'!$C:$C,"=BM-00110021_003",'BP2026_Archive (21Apr26)'!Y:Y)+SUMIF('BP2026_Archive (21Apr26)'!$C:$C,"=BM-00110021_004",'BP2026_Archive (21Apr26)'!Y:Y)+SUMIF('BP2026_Archive (21Apr26)'!$C:$C,"=BM-00110021_005",'BP2026_Archive (21Apr26)'!Y:Y)-SUMIF('BP2026_Archive (21Apr26)'!$H:$H,"=Manually added cost",'BP2026_Archive (21Apr26)'!Y:Y)</f>
        <v>1379756.8606808556</v>
      </c>
      <c r="E3" s="1"/>
      <c r="F3" s="1"/>
      <c r="G3" s="1"/>
      <c r="H3" s="1"/>
      <c r="I3" s="1"/>
      <c r="J3" s="1"/>
      <c r="K3" s="1"/>
      <c r="L3" s="1"/>
      <c r="M3" s="1"/>
      <c r="Q3" s="1">
        <v>0</v>
      </c>
      <c r="R3" s="1">
        <v>0</v>
      </c>
      <c r="S3" s="1">
        <v>0</v>
      </c>
      <c r="T3" s="1">
        <v>0</v>
      </c>
      <c r="U3" s="1">
        <v>0</v>
      </c>
      <c r="V3" s="1">
        <v>0</v>
      </c>
      <c r="W3" s="1">
        <v>0</v>
      </c>
      <c r="X3">
        <v>0</v>
      </c>
      <c r="Y3">
        <v>0</v>
      </c>
      <c r="Z3">
        <v>0</v>
      </c>
      <c r="AB3">
        <v>23703.703703703701</v>
      </c>
    </row>
    <row r="4" spans="1:28">
      <c r="A4" t="s">
        <v>325</v>
      </c>
      <c r="B4" s="1">
        <f>SUMIF('BP2026_Archive (21Apr26)'!$H:$H,"=Manually added cost",'BP2026_Archive (21Apr26)'!W:W)</f>
        <v>65439.794948608163</v>
      </c>
      <c r="C4" s="1">
        <f>Table11[[#This Row],[Jan-26]]+SUMIF('BP2026_Archive (21Apr26)'!$H:$H,"=Manually added cost",'BP2026_Archive (21Apr26)'!X:X)</f>
        <v>108925.73989721632</v>
      </c>
      <c r="D4" s="1">
        <f>Table11[[#This Row],[Feb-26]]+SUMIF('BP2026_Archive (21Apr26)'!$H:$H,"=Manually added cost",'BP2026_Archive (21Apr26)'!Y:Y)</f>
        <v>180226.67759944766</v>
      </c>
      <c r="E4" s="1"/>
      <c r="F4" s="1"/>
      <c r="G4" s="1"/>
      <c r="H4" s="1"/>
      <c r="I4" s="1"/>
      <c r="J4" s="1"/>
      <c r="K4" s="1"/>
      <c r="L4" s="1"/>
      <c r="M4" s="1"/>
      <c r="Q4" s="1">
        <v>50000</v>
      </c>
      <c r="R4" s="1"/>
      <c r="S4" s="1"/>
      <c r="T4" s="1"/>
      <c r="U4" s="1"/>
      <c r="V4" s="1"/>
      <c r="W4" s="1"/>
    </row>
    <row r="5" spans="1:28">
      <c r="A5" t="s">
        <v>326</v>
      </c>
      <c r="B5" s="1">
        <f>SUM(B3:B4)</f>
        <v>281932.09569460817</v>
      </c>
      <c r="C5" s="1">
        <f t="shared" ref="C5:M5" si="0">SUM(C3:C4)</f>
        <v>649012.91532875423</v>
      </c>
      <c r="D5" s="1">
        <f t="shared" si="0"/>
        <v>1559983.5382803031</v>
      </c>
      <c r="E5" s="1">
        <f t="shared" si="0"/>
        <v>0</v>
      </c>
      <c r="F5" s="1">
        <f t="shared" si="0"/>
        <v>0</v>
      </c>
      <c r="G5" s="1">
        <f t="shared" si="0"/>
        <v>0</v>
      </c>
      <c r="H5" s="1">
        <f t="shared" si="0"/>
        <v>0</v>
      </c>
      <c r="I5" s="1">
        <f t="shared" si="0"/>
        <v>0</v>
      </c>
      <c r="J5" s="1">
        <f t="shared" si="0"/>
        <v>0</v>
      </c>
      <c r="K5" s="1">
        <f t="shared" si="0"/>
        <v>0</v>
      </c>
      <c r="L5" s="1">
        <f t="shared" si="0"/>
        <v>0</v>
      </c>
      <c r="M5" s="1">
        <f t="shared" si="0"/>
        <v>0</v>
      </c>
      <c r="Q5" s="1">
        <f>SUM(Q2:Q4)</f>
        <v>73333.333333333328</v>
      </c>
      <c r="R5" s="1">
        <f>SUM(R2:R4)</f>
        <v>23333.333333333332</v>
      </c>
      <c r="S5" s="1">
        <f t="shared" ref="S5:Z5" si="1">SUM(S2:S4)</f>
        <v>23333.333333333332</v>
      </c>
      <c r="T5" s="1">
        <f t="shared" si="1"/>
        <v>23333.333333333332</v>
      </c>
      <c r="U5" s="1">
        <f t="shared" si="1"/>
        <v>23333.333333333332</v>
      </c>
      <c r="V5" s="1">
        <f t="shared" si="1"/>
        <v>23333.333333333332</v>
      </c>
      <c r="W5" s="1">
        <f t="shared" si="1"/>
        <v>23333.333333333332</v>
      </c>
      <c r="X5">
        <f t="shared" si="1"/>
        <v>0</v>
      </c>
      <c r="Y5">
        <f t="shared" si="1"/>
        <v>0</v>
      </c>
      <c r="Z5">
        <f t="shared" si="1"/>
        <v>0</v>
      </c>
    </row>
    <row r="6" spans="1:28">
      <c r="A6" t="s">
        <v>327</v>
      </c>
      <c r="B6" s="1">
        <f>Table11[[#This Row],[Dec-26]]/12</f>
        <v>407099.05985544057</v>
      </c>
      <c r="C6" s="1">
        <f t="shared" ref="C6:L6" si="2">B6+$M$6/12</f>
        <v>814198.11971088115</v>
      </c>
      <c r="D6" s="1">
        <f>C6+$M$6/12</f>
        <v>1221297.1795663217</v>
      </c>
      <c r="E6" s="1">
        <f t="shared" si="2"/>
        <v>1628396.2394217623</v>
      </c>
      <c r="F6" s="1">
        <f t="shared" si="2"/>
        <v>2035495.2992772029</v>
      </c>
      <c r="G6" s="1">
        <f t="shared" si="2"/>
        <v>2442594.3591326433</v>
      </c>
      <c r="H6" s="1">
        <f t="shared" si="2"/>
        <v>2849693.418988084</v>
      </c>
      <c r="I6" s="1">
        <f t="shared" si="2"/>
        <v>3256792.4788435246</v>
      </c>
      <c r="J6" s="1">
        <f t="shared" si="2"/>
        <v>3663891.5386989652</v>
      </c>
      <c r="K6" s="1">
        <f t="shared" si="2"/>
        <v>4070990.5985544058</v>
      </c>
      <c r="L6" s="1">
        <f t="shared" si="2"/>
        <v>4478089.658409846</v>
      </c>
      <c r="M6" s="1">
        <f>Table42610[[#Totals],[BAC (CF05 Plan)]]</f>
        <v>4885188.7182652866</v>
      </c>
      <c r="Q6" s="1">
        <v>23703.703703703701</v>
      </c>
      <c r="R6" s="1">
        <v>23703.703703703701</v>
      </c>
      <c r="S6" s="1">
        <v>23703.703703703701</v>
      </c>
      <c r="T6" s="1">
        <v>23703.703703703701</v>
      </c>
      <c r="U6" s="1">
        <v>23703.703703703701</v>
      </c>
      <c r="V6" s="1">
        <v>23703.703703703701</v>
      </c>
      <c r="W6" s="1">
        <v>23703.703703703701</v>
      </c>
      <c r="X6" s="1">
        <v>23703.703703703701</v>
      </c>
      <c r="Y6" s="1">
        <v>23703.703703703701</v>
      </c>
      <c r="Z6" s="1"/>
    </row>
    <row r="7" spans="1:28">
      <c r="A7" t="s">
        <v>328</v>
      </c>
      <c r="B7" s="1"/>
      <c r="C7" s="1"/>
      <c r="D7" s="1"/>
      <c r="E7" s="1" t="e">
        <f>4*Table11[[#This Row],[Dec-26]]/12</f>
        <v>#REF!</v>
      </c>
      <c r="F7" s="1" t="e">
        <f>5*Table11[[#This Row],[Dec-26]]/12</f>
        <v>#REF!</v>
      </c>
      <c r="G7" s="1" t="e">
        <f>6*Table11[[#This Row],[Dec-26]]/12</f>
        <v>#REF!</v>
      </c>
      <c r="H7" s="1" t="e">
        <f>7*Table11[[#This Row],[Dec-26]]/12</f>
        <v>#REF!</v>
      </c>
      <c r="I7" s="1" t="e">
        <f>8*Table11[[#This Row],[Dec-26]]/12</f>
        <v>#REF!</v>
      </c>
      <c r="J7" s="1" t="e">
        <f>9*Table11[[#This Row],[Dec-26]]/12</f>
        <v>#REF!</v>
      </c>
      <c r="K7" s="1" t="e">
        <f>10*Table11[[#This Row],[Dec-26]]/12</f>
        <v>#REF!</v>
      </c>
      <c r="L7" s="1" t="e">
        <f>11*Table11[[#This Row],[Dec-26]]/12</f>
        <v>#REF!</v>
      </c>
      <c r="M7" s="1" t="e">
        <f>Table42610[[#Totals],[EAC (based on YTD actuals)]]</f>
        <v>#REF!</v>
      </c>
      <c r="O7" s="1"/>
      <c r="Q7" s="1">
        <f>Q5-Q6</f>
        <v>49629.629629629628</v>
      </c>
      <c r="R7" s="1">
        <f t="shared" ref="R7:Z7" si="3">R5-R6</f>
        <v>-370.37037037036862</v>
      </c>
      <c r="S7" s="1">
        <f t="shared" si="3"/>
        <v>-370.37037037036862</v>
      </c>
      <c r="T7" s="1">
        <f t="shared" si="3"/>
        <v>-370.37037037036862</v>
      </c>
      <c r="U7" s="1">
        <f t="shared" si="3"/>
        <v>-370.37037037036862</v>
      </c>
      <c r="V7" s="1">
        <f t="shared" si="3"/>
        <v>-370.37037037036862</v>
      </c>
      <c r="W7" s="1">
        <f t="shared" si="3"/>
        <v>-370.37037037036862</v>
      </c>
      <c r="X7" s="1">
        <f t="shared" si="3"/>
        <v>-23703.703703703701</v>
      </c>
      <c r="Y7" s="1">
        <f t="shared" si="3"/>
        <v>-23703.703703703701</v>
      </c>
      <c r="Z7" s="1">
        <f t="shared" si="3"/>
        <v>0</v>
      </c>
    </row>
    <row r="8" spans="1:28">
      <c r="A8" t="s">
        <v>329</v>
      </c>
      <c r="B8" s="1">
        <f t="shared" ref="B8:M8" si="4">B5-B6</f>
        <v>-125166.9641608324</v>
      </c>
      <c r="C8" s="1">
        <f t="shared" si="4"/>
        <v>-165185.20438212692</v>
      </c>
      <c r="D8" s="1">
        <f t="shared" si="4"/>
        <v>338686.35871398146</v>
      </c>
      <c r="E8" s="1">
        <f t="shared" si="4"/>
        <v>-1628396.2394217623</v>
      </c>
      <c r="F8" s="1">
        <f t="shared" si="4"/>
        <v>-2035495.2992772029</v>
      </c>
      <c r="G8" s="1">
        <f t="shared" si="4"/>
        <v>-2442594.3591326433</v>
      </c>
      <c r="H8" s="1">
        <f t="shared" si="4"/>
        <v>-2849693.418988084</v>
      </c>
      <c r="I8" s="1">
        <f t="shared" si="4"/>
        <v>-3256792.4788435246</v>
      </c>
      <c r="J8" s="1">
        <f t="shared" si="4"/>
        <v>-3663891.5386989652</v>
      </c>
      <c r="K8" s="1">
        <f t="shared" si="4"/>
        <v>-4070990.5985544058</v>
      </c>
      <c r="L8" s="1">
        <f t="shared" si="4"/>
        <v>-4478089.658409846</v>
      </c>
      <c r="M8" s="1">
        <f t="shared" si="4"/>
        <v>-4885188.7182652866</v>
      </c>
      <c r="Q8">
        <v>49629.629629629628</v>
      </c>
      <c r="R8">
        <v>-370.37037037036862</v>
      </c>
      <c r="S8">
        <v>-370.37037037036862</v>
      </c>
      <c r="T8">
        <v>-370.37037037036862</v>
      </c>
      <c r="U8">
        <v>-370.37037037036862</v>
      </c>
      <c r="V8">
        <v>-370.37037037036862</v>
      </c>
      <c r="W8">
        <v>-370.37037037036862</v>
      </c>
      <c r="X8">
        <v>-23703.703703703701</v>
      </c>
      <c r="Y8">
        <v>-23703.703703703701</v>
      </c>
      <c r="Z8">
        <v>0</v>
      </c>
    </row>
    <row r="9" spans="1:28">
      <c r="A9" t="s">
        <v>330</v>
      </c>
      <c r="B9" s="12">
        <f>B8/B6</f>
        <v>-0.30746070552282473</v>
      </c>
      <c r="C9" s="12">
        <f>C8/C6</f>
        <v>-0.20288084728172007</v>
      </c>
      <c r="D9" s="12">
        <f>D8/D6</f>
        <v>0.27731690892322197</v>
      </c>
    </row>
    <row r="10" spans="1:28">
      <c r="A10" t="s">
        <v>331</v>
      </c>
      <c r="B10" s="1"/>
      <c r="C10" s="12"/>
      <c r="D10" s="12"/>
      <c r="M10" s="1">
        <f>Table42610[[#Totals],[CF05 C-Hub Cust Ext]]</f>
        <v>2070962.4221181346</v>
      </c>
    </row>
    <row r="11" spans="1:28">
      <c r="A11" t="s">
        <v>332</v>
      </c>
      <c r="M11" s="1">
        <v>700000</v>
      </c>
    </row>
    <row r="12" spans="1:28">
      <c r="B12" s="1"/>
      <c r="M12" s="1">
        <f>M6+M10+M11</f>
        <v>7656151.1403834214</v>
      </c>
    </row>
    <row r="13" spans="1:28">
      <c r="B13" s="1"/>
      <c r="C13" s="1"/>
      <c r="D13" s="1"/>
      <c r="E13" s="1"/>
      <c r="F13" s="1"/>
      <c r="G13" s="1"/>
      <c r="H13" s="1"/>
      <c r="I13" s="1"/>
      <c r="J13" s="1"/>
      <c r="K13" s="1"/>
      <c r="L13" s="1"/>
      <c r="M13" s="1">
        <v>7848729.1172038447</v>
      </c>
      <c r="N13" s="1"/>
    </row>
    <row r="14" spans="1:28">
      <c r="B14" s="1"/>
      <c r="C14" s="1">
        <f>C5/2*12</f>
        <v>3894077.4919725256</v>
      </c>
      <c r="D14" s="1"/>
      <c r="E14" s="1"/>
      <c r="F14" s="1"/>
      <c r="G14" s="1"/>
      <c r="H14" s="1"/>
      <c r="I14" s="1"/>
      <c r="J14" s="1"/>
      <c r="K14" s="1"/>
      <c r="L14" s="1"/>
      <c r="M14" s="1"/>
    </row>
    <row r="15" spans="1:28">
      <c r="B15" s="1"/>
      <c r="C15" s="1">
        <v>6200938.9661805257</v>
      </c>
      <c r="D15" s="1"/>
      <c r="E15" s="1"/>
      <c r="F15" s="1"/>
      <c r="G15" s="1"/>
      <c r="H15" s="1"/>
      <c r="I15" s="1"/>
      <c r="J15" s="1"/>
      <c r="K15" s="1"/>
      <c r="L15" s="1"/>
      <c r="M15" s="15">
        <f>Table11[[#Totals],[Dec-26]]-M13</f>
        <v>-192577.97682042327</v>
      </c>
    </row>
    <row r="16" spans="1:28">
      <c r="B16" s="1"/>
      <c r="C16" s="1"/>
      <c r="D16" s="1"/>
      <c r="E16" s="1"/>
      <c r="F16" s="1"/>
      <c r="G16" s="1"/>
      <c r="H16" s="1"/>
      <c r="I16" s="1"/>
      <c r="J16" s="1"/>
      <c r="K16" s="1"/>
      <c r="L16" s="1"/>
      <c r="M16" s="1"/>
    </row>
    <row r="17" spans="12:13">
      <c r="M17" s="1"/>
    </row>
    <row r="23" spans="12:13">
      <c r="L23" s="1"/>
      <c r="M23" s="1"/>
    </row>
  </sheetData>
  <phoneticPr fontId="8"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94F93-51B7-4BDD-9B86-C1B7B8EAA1F5}">
  <dimension ref="A1:D100"/>
  <sheetViews>
    <sheetView zoomScaleNormal="100" workbookViewId="0">
      <selection activeCell="A3" sqref="A3:D47"/>
    </sheetView>
  </sheetViews>
  <sheetFormatPr defaultColWidth="9.109375" defaultRowHeight="14.4"/>
  <cols>
    <col min="1" max="1" width="36.5546875" bestFit="1" customWidth="1"/>
    <col min="2" max="2" width="21.44140625" bestFit="1" customWidth="1"/>
    <col min="3" max="3" width="33" bestFit="1" customWidth="1"/>
    <col min="4" max="5" width="23" bestFit="1" customWidth="1"/>
  </cols>
  <sheetData>
    <row r="1" spans="1:4">
      <c r="A1" s="9" t="s">
        <v>3</v>
      </c>
      <c r="B1" t="s">
        <v>333</v>
      </c>
    </row>
    <row r="3" spans="1:4">
      <c r="A3" s="9" t="s">
        <v>334</v>
      </c>
      <c r="B3" t="s">
        <v>335</v>
      </c>
      <c r="C3" t="s">
        <v>336</v>
      </c>
      <c r="D3" t="s">
        <v>275</v>
      </c>
    </row>
    <row r="4" spans="1:4">
      <c r="A4" s="10" t="s">
        <v>46</v>
      </c>
      <c r="B4" s="1">
        <v>-400000</v>
      </c>
      <c r="C4" s="1">
        <v>0</v>
      </c>
      <c r="D4" s="1">
        <v>400000</v>
      </c>
    </row>
    <row r="5" spans="1:4">
      <c r="A5" s="10" t="s">
        <v>203</v>
      </c>
      <c r="B5" s="1">
        <v>-343003.95025112602</v>
      </c>
      <c r="C5" s="1">
        <v>0</v>
      </c>
      <c r="D5" s="1">
        <v>343003.95025112602</v>
      </c>
    </row>
    <row r="6" spans="1:4">
      <c r="A6" s="10" t="s">
        <v>164</v>
      </c>
      <c r="B6" s="1">
        <v>180000</v>
      </c>
      <c r="C6" s="1">
        <v>332000.00000000012</v>
      </c>
      <c r="D6" s="1">
        <v>152000.00000000012</v>
      </c>
    </row>
    <row r="7" spans="1:4">
      <c r="A7" s="10" t="s">
        <v>169</v>
      </c>
      <c r="B7" s="1">
        <v>682500</v>
      </c>
      <c r="C7" s="1">
        <v>823999.99999999988</v>
      </c>
      <c r="D7" s="1">
        <v>141499.99999999988</v>
      </c>
    </row>
    <row r="8" spans="1:4">
      <c r="A8" s="10" t="s">
        <v>157</v>
      </c>
      <c r="B8" s="1">
        <v>150000</v>
      </c>
      <c r="C8" s="1">
        <v>277605</v>
      </c>
      <c r="D8" s="1">
        <v>127605</v>
      </c>
    </row>
    <row r="9" spans="1:4">
      <c r="A9" s="10" t="s">
        <v>190</v>
      </c>
      <c r="B9" s="1">
        <v>157197.33333333334</v>
      </c>
      <c r="C9" s="1">
        <v>187708.69312000004</v>
      </c>
      <c r="D9" s="1">
        <v>30511.359786666697</v>
      </c>
    </row>
    <row r="10" spans="1:4">
      <c r="A10" s="10" t="s">
        <v>183</v>
      </c>
      <c r="B10" s="1">
        <v>78598.666666666672</v>
      </c>
      <c r="C10" s="1">
        <v>99491.888960000011</v>
      </c>
      <c r="D10" s="1">
        <v>20893.22229333334</v>
      </c>
    </row>
    <row r="11" spans="1:4">
      <c r="A11" s="10" t="s">
        <v>122</v>
      </c>
      <c r="B11" s="1">
        <v>19649.666666666668</v>
      </c>
      <c r="C11" s="1">
        <v>29468.334800000004</v>
      </c>
      <c r="D11" s="1">
        <v>9818.6681333333363</v>
      </c>
    </row>
    <row r="12" spans="1:4">
      <c r="A12" s="10" t="s">
        <v>200</v>
      </c>
      <c r="B12" s="1">
        <v>81437</v>
      </c>
      <c r="C12" s="1">
        <v>85415.613680000009</v>
      </c>
      <c r="D12" s="1">
        <v>3978.6136800000095</v>
      </c>
    </row>
    <row r="13" spans="1:4">
      <c r="A13" s="10" t="s">
        <v>134</v>
      </c>
      <c r="B13" s="1">
        <v>226865.10000000006</v>
      </c>
      <c r="C13" s="1">
        <v>229309.12600000011</v>
      </c>
      <c r="D13" s="1">
        <v>2444.0260000000417</v>
      </c>
    </row>
    <row r="14" spans="1:4">
      <c r="A14" s="10" t="s">
        <v>101</v>
      </c>
      <c r="B14" s="1">
        <v>81435.784313725511</v>
      </c>
      <c r="C14" s="1">
        <v>83713.806714771272</v>
      </c>
      <c r="D14" s="1">
        <v>2278.0224010457605</v>
      </c>
    </row>
    <row r="15" spans="1:4">
      <c r="A15" s="10" t="s">
        <v>115</v>
      </c>
      <c r="B15" s="1">
        <v>40717.892156862748</v>
      </c>
      <c r="C15" s="1">
        <v>42387.109037647075</v>
      </c>
      <c r="D15" s="1">
        <v>1669.2168807843263</v>
      </c>
    </row>
    <row r="16" spans="1:4">
      <c r="A16" s="10" t="s">
        <v>194</v>
      </c>
      <c r="B16" s="1">
        <v>210721.50000000003</v>
      </c>
      <c r="C16" s="1">
        <v>210795.75</v>
      </c>
      <c r="D16" s="1">
        <v>74.249999999970896</v>
      </c>
    </row>
    <row r="17" spans="1:4">
      <c r="A17" s="10" t="s">
        <v>84</v>
      </c>
      <c r="B17" s="1">
        <v>423141.91304347821</v>
      </c>
      <c r="C17" s="1">
        <v>423141.92753623187</v>
      </c>
      <c r="D17" s="1">
        <v>1.4492753660306334E-2</v>
      </c>
    </row>
    <row r="18" spans="1:4">
      <c r="A18" s="10" t="s">
        <v>80</v>
      </c>
      <c r="B18" s="1">
        <v>0</v>
      </c>
      <c r="C18" s="1">
        <v>0</v>
      </c>
      <c r="D18" s="1">
        <v>0</v>
      </c>
    </row>
    <row r="19" spans="1:4">
      <c r="A19" s="10" t="s">
        <v>77</v>
      </c>
      <c r="B19" s="1">
        <v>0</v>
      </c>
      <c r="C19" s="1">
        <v>0</v>
      </c>
      <c r="D19" s="1">
        <v>0</v>
      </c>
    </row>
    <row r="20" spans="1:4">
      <c r="A20" s="10" t="s">
        <v>171</v>
      </c>
      <c r="B20" s="1">
        <v>0</v>
      </c>
      <c r="C20" s="1">
        <v>0</v>
      </c>
      <c r="D20" s="1">
        <v>0</v>
      </c>
    </row>
    <row r="21" spans="1:4">
      <c r="A21" s="10" t="s">
        <v>151</v>
      </c>
      <c r="B21" s="1">
        <v>0</v>
      </c>
      <c r="C21" s="1">
        <v>0</v>
      </c>
      <c r="D21" s="1">
        <v>0</v>
      </c>
    </row>
    <row r="22" spans="1:4">
      <c r="A22" s="10" t="s">
        <v>50</v>
      </c>
      <c r="B22" s="1">
        <v>0</v>
      </c>
      <c r="C22" s="1">
        <v>0</v>
      </c>
      <c r="D22" s="1">
        <v>0</v>
      </c>
    </row>
    <row r="23" spans="1:4">
      <c r="A23" s="10" t="s">
        <v>174</v>
      </c>
      <c r="B23" s="1">
        <v>0</v>
      </c>
      <c r="C23" s="1">
        <v>0</v>
      </c>
      <c r="D23" s="1">
        <v>0</v>
      </c>
    </row>
    <row r="24" spans="1:4">
      <c r="A24" s="10" t="s">
        <v>129</v>
      </c>
      <c r="B24" s="1">
        <v>0</v>
      </c>
      <c r="C24" s="1">
        <v>0</v>
      </c>
      <c r="D24" s="1">
        <v>0</v>
      </c>
    </row>
    <row r="25" spans="1:4">
      <c r="A25" s="10" t="s">
        <v>52</v>
      </c>
      <c r="B25" s="1">
        <v>0</v>
      </c>
      <c r="C25" s="1">
        <v>0</v>
      </c>
      <c r="D25" s="1">
        <v>0</v>
      </c>
    </row>
    <row r="26" spans="1:4">
      <c r="A26" s="10" t="s">
        <v>202</v>
      </c>
      <c r="B26" s="1">
        <v>0</v>
      </c>
      <c r="C26" s="1">
        <v>0</v>
      </c>
      <c r="D26" s="1">
        <v>0</v>
      </c>
    </row>
    <row r="27" spans="1:4">
      <c r="A27" s="10" t="s">
        <v>154</v>
      </c>
      <c r="B27" s="1">
        <v>98689.339383297905</v>
      </c>
      <c r="C27" s="1">
        <v>98689.339383297935</v>
      </c>
      <c r="D27" s="1">
        <v>0</v>
      </c>
    </row>
    <row r="28" spans="1:4">
      <c r="A28" s="10" t="s">
        <v>41</v>
      </c>
      <c r="B28" s="1">
        <v>-330000</v>
      </c>
      <c r="C28" s="1">
        <v>-330000</v>
      </c>
      <c r="D28" s="1">
        <v>0</v>
      </c>
    </row>
    <row r="29" spans="1:4">
      <c r="A29" s="10" t="s">
        <v>139</v>
      </c>
      <c r="B29" s="1">
        <v>578153.67200000002</v>
      </c>
      <c r="C29" s="1">
        <v>578153.25399999996</v>
      </c>
      <c r="D29" s="1">
        <v>-0.41800000006332994</v>
      </c>
    </row>
    <row r="30" spans="1:4">
      <c r="A30" s="10" t="s">
        <v>125</v>
      </c>
      <c r="B30" s="1">
        <v>19721.52</v>
      </c>
      <c r="C30" s="1">
        <v>19485.290280455996</v>
      </c>
      <c r="D30" s="1">
        <v>-236.22971954400418</v>
      </c>
    </row>
    <row r="31" spans="1:4">
      <c r="A31" s="10" t="s">
        <v>196</v>
      </c>
      <c r="B31" s="1">
        <v>81437</v>
      </c>
      <c r="C31" s="1">
        <v>81039.090160000007</v>
      </c>
      <c r="D31" s="1">
        <v>-397.90983999999298</v>
      </c>
    </row>
    <row r="32" spans="1:4">
      <c r="A32" s="10" t="s">
        <v>187</v>
      </c>
      <c r="B32" s="1">
        <v>52462.84</v>
      </c>
      <c r="C32" s="1">
        <v>51767.234199048005</v>
      </c>
      <c r="D32" s="1">
        <v>-695.60580095199111</v>
      </c>
    </row>
    <row r="33" spans="1:4">
      <c r="A33" s="10" t="s">
        <v>120</v>
      </c>
      <c r="B33" s="1">
        <v>26231.42</v>
      </c>
      <c r="C33" s="1">
        <v>24979.624858620002</v>
      </c>
      <c r="D33" s="1">
        <v>-1251.7951413799965</v>
      </c>
    </row>
    <row r="34" spans="1:4">
      <c r="A34" s="10" t="s">
        <v>97</v>
      </c>
      <c r="B34" s="1">
        <v>117898</v>
      </c>
      <c r="C34" s="1">
        <v>115803.33551999998</v>
      </c>
      <c r="D34" s="1">
        <v>-2094.6644800000213</v>
      </c>
    </row>
    <row r="35" spans="1:4">
      <c r="A35" s="10" t="s">
        <v>182</v>
      </c>
      <c r="B35" s="1">
        <v>20000</v>
      </c>
      <c r="C35" s="1">
        <v>16870.366666666665</v>
      </c>
      <c r="D35" s="1">
        <v>-3129.633333333335</v>
      </c>
    </row>
    <row r="36" spans="1:4">
      <c r="A36" s="10" t="s">
        <v>179</v>
      </c>
      <c r="B36" s="1">
        <v>39299.333333333336</v>
      </c>
      <c r="C36" s="1">
        <v>35292.433120000002</v>
      </c>
      <c r="D36" s="1">
        <v>-4006.9002133333342</v>
      </c>
    </row>
    <row r="37" spans="1:4">
      <c r="A37" s="10" t="s">
        <v>107</v>
      </c>
      <c r="B37" s="1">
        <v>25000</v>
      </c>
      <c r="C37" s="1">
        <v>18750</v>
      </c>
      <c r="D37" s="1">
        <v>-6250</v>
      </c>
    </row>
    <row r="38" spans="1:4">
      <c r="A38" s="10" t="s">
        <v>113</v>
      </c>
      <c r="B38" s="1">
        <v>25000</v>
      </c>
      <c r="C38" s="1">
        <v>18750</v>
      </c>
      <c r="D38" s="1">
        <v>-6250</v>
      </c>
    </row>
    <row r="39" spans="1:4">
      <c r="A39" s="10" t="s">
        <v>161</v>
      </c>
      <c r="B39" s="1">
        <v>60000</v>
      </c>
      <c r="C39" s="1">
        <v>50000</v>
      </c>
      <c r="D39" s="1">
        <v>-10000</v>
      </c>
    </row>
    <row r="40" spans="1:4">
      <c r="A40" s="10" t="s">
        <v>177</v>
      </c>
      <c r="B40" s="1">
        <v>78598.666666666672</v>
      </c>
      <c r="C40" s="1">
        <v>66848.14112</v>
      </c>
      <c r="D40" s="1">
        <v>-11750.525546666671</v>
      </c>
    </row>
    <row r="41" spans="1:4">
      <c r="A41" s="10" t="s">
        <v>64</v>
      </c>
      <c r="B41" s="1">
        <v>131061.50666666667</v>
      </c>
      <c r="C41" s="1">
        <v>110716.23419904802</v>
      </c>
      <c r="D41" s="1">
        <v>-20345.272467618655</v>
      </c>
    </row>
    <row r="42" spans="1:4">
      <c r="A42" s="10" t="s">
        <v>93</v>
      </c>
      <c r="B42" s="1">
        <v>196374.51428571428</v>
      </c>
      <c r="C42" s="1">
        <v>172254.28571428568</v>
      </c>
      <c r="D42" s="1">
        <v>-24120.228571428583</v>
      </c>
    </row>
    <row r="43" spans="1:4">
      <c r="A43" s="10" t="s">
        <v>58</v>
      </c>
      <c r="B43" s="1">
        <v>210000</v>
      </c>
      <c r="C43" s="1">
        <v>184135.01</v>
      </c>
      <c r="D43" s="1">
        <v>-25864.989999999991</v>
      </c>
    </row>
    <row r="44" spans="1:4">
      <c r="A44" s="10" t="s">
        <v>149</v>
      </c>
      <c r="B44" s="1">
        <v>611000</v>
      </c>
      <c r="C44" s="1">
        <v>569604.27080000006</v>
      </c>
      <c r="D44" s="1">
        <v>-41395.729199999943</v>
      </c>
    </row>
    <row r="45" spans="1:4">
      <c r="A45" s="10" t="s">
        <v>144</v>
      </c>
      <c r="B45" s="1">
        <v>1095000</v>
      </c>
      <c r="C45" s="1">
        <v>975412.02979754005</v>
      </c>
      <c r="D45" s="1">
        <v>-119587.97020245995</v>
      </c>
    </row>
    <row r="46" spans="1:4">
      <c r="A46" s="10" t="s">
        <v>88</v>
      </c>
      <c r="B46" s="1">
        <v>370000</v>
      </c>
      <c r="C46" s="1">
        <v>222000</v>
      </c>
      <c r="D46" s="1">
        <v>-148000</v>
      </c>
    </row>
    <row r="47" spans="1:4">
      <c r="A47" s="10" t="s">
        <v>304</v>
      </c>
      <c r="B47" s="1">
        <v>5095188.7182652857</v>
      </c>
      <c r="C47" s="1">
        <v>5905587.1896676142</v>
      </c>
      <c r="D47" s="1">
        <v>810398.4714023266</v>
      </c>
    </row>
    <row r="59" spans="1:4">
      <c r="A59" s="9" t="s">
        <v>337</v>
      </c>
      <c r="B59" t="s">
        <v>335</v>
      </c>
      <c r="C59" t="s">
        <v>338</v>
      </c>
      <c r="D59" t="s">
        <v>339</v>
      </c>
    </row>
    <row r="60" spans="1:4">
      <c r="A60" s="10" t="s">
        <v>146</v>
      </c>
      <c r="B60" s="1">
        <v>1362996.049748874</v>
      </c>
      <c r="C60" s="1">
        <v>1545016.3005975401</v>
      </c>
      <c r="D60" s="1">
        <v>182020.25084866612</v>
      </c>
    </row>
    <row r="61" spans="1:4">
      <c r="A61" s="72" t="s">
        <v>171</v>
      </c>
      <c r="B61" s="1">
        <v>0</v>
      </c>
      <c r="C61" s="1">
        <v>0</v>
      </c>
      <c r="D61" s="1">
        <v>0</v>
      </c>
    </row>
    <row r="62" spans="1:4">
      <c r="A62" s="72" t="s">
        <v>151</v>
      </c>
      <c r="B62" s="1">
        <v>0</v>
      </c>
      <c r="C62" s="1">
        <v>0</v>
      </c>
      <c r="D62" s="1">
        <v>0</v>
      </c>
    </row>
    <row r="63" spans="1:4">
      <c r="A63" s="72" t="s">
        <v>144</v>
      </c>
      <c r="B63" s="1">
        <v>1095000</v>
      </c>
      <c r="C63" s="1">
        <v>975412.02979754005</v>
      </c>
      <c r="D63" s="1">
        <v>-119587.97020245995</v>
      </c>
    </row>
    <row r="64" spans="1:4">
      <c r="A64" s="72" t="s">
        <v>149</v>
      </c>
      <c r="B64" s="1">
        <v>611000</v>
      </c>
      <c r="C64" s="1">
        <v>569604.27080000006</v>
      </c>
      <c r="D64" s="1">
        <v>-41395.729199999943</v>
      </c>
    </row>
    <row r="65" spans="1:4">
      <c r="A65" s="72" t="s">
        <v>203</v>
      </c>
      <c r="B65" s="1">
        <v>-343003.95025112602</v>
      </c>
      <c r="C65" s="1">
        <v>0</v>
      </c>
      <c r="D65" s="1">
        <v>343003.95025112602</v>
      </c>
    </row>
    <row r="66" spans="1:4">
      <c r="A66" s="10" t="s">
        <v>304</v>
      </c>
      <c r="B66" s="1">
        <v>1362996.049748874</v>
      </c>
      <c r="C66" s="1">
        <v>1545016.3005975401</v>
      </c>
      <c r="D66" s="1">
        <v>182020.25084866612</v>
      </c>
    </row>
    <row r="75" spans="1:4">
      <c r="A75" s="9" t="s">
        <v>340</v>
      </c>
      <c r="B75" t="s">
        <v>335</v>
      </c>
      <c r="C75" t="s">
        <v>338</v>
      </c>
      <c r="D75" t="s">
        <v>339</v>
      </c>
    </row>
    <row r="76" spans="1:4">
      <c r="A76" s="10" t="s">
        <v>89</v>
      </c>
      <c r="B76" s="1">
        <v>1232500</v>
      </c>
      <c r="C76" s="1">
        <v>1378000</v>
      </c>
      <c r="D76" s="1">
        <v>145500</v>
      </c>
    </row>
    <row r="77" spans="1:4">
      <c r="A77" s="72" t="s">
        <v>164</v>
      </c>
      <c r="B77" s="1">
        <v>180000</v>
      </c>
      <c r="C77" s="1">
        <v>332000.00000000012</v>
      </c>
      <c r="D77" s="1">
        <v>152000.00000000012</v>
      </c>
    </row>
    <row r="78" spans="1:4">
      <c r="A78" s="72" t="s">
        <v>169</v>
      </c>
      <c r="B78" s="1">
        <v>682500</v>
      </c>
      <c r="C78" s="1">
        <v>823999.99999999988</v>
      </c>
      <c r="D78" s="1">
        <v>141499.99999999988</v>
      </c>
    </row>
    <row r="79" spans="1:4">
      <c r="A79" s="72" t="s">
        <v>88</v>
      </c>
      <c r="B79" s="1">
        <v>370000</v>
      </c>
      <c r="C79" s="1">
        <v>222000</v>
      </c>
      <c r="D79" s="1">
        <v>-148000</v>
      </c>
    </row>
    <row r="80" spans="1:4">
      <c r="A80" s="10" t="s">
        <v>304</v>
      </c>
      <c r="B80" s="1">
        <v>1232500</v>
      </c>
      <c r="C80" s="1">
        <v>1378000</v>
      </c>
      <c r="D80" s="1">
        <v>145500</v>
      </c>
    </row>
    <row r="87" spans="1:4">
      <c r="A87" s="9" t="s">
        <v>341</v>
      </c>
      <c r="B87" t="s">
        <v>335</v>
      </c>
      <c r="C87" t="s">
        <v>342</v>
      </c>
      <c r="D87" t="s">
        <v>339</v>
      </c>
    </row>
    <row r="88" spans="1:4">
      <c r="A88" s="10" t="s">
        <v>172</v>
      </c>
      <c r="B88" s="1">
        <v>78598.666666666672</v>
      </c>
      <c r="C88" s="1">
        <v>66848.14112</v>
      </c>
      <c r="D88" s="1">
        <v>-11750.525546666671</v>
      </c>
    </row>
    <row r="89" spans="1:4">
      <c r="A89" s="10" t="s">
        <v>142</v>
      </c>
      <c r="B89" s="1">
        <v>1706000</v>
      </c>
      <c r="C89" s="1">
        <v>1545016.3005975401</v>
      </c>
      <c r="D89" s="1">
        <v>-160983.6994024599</v>
      </c>
    </row>
    <row r="90" spans="1:4">
      <c r="A90" s="10" t="s">
        <v>83</v>
      </c>
      <c r="B90" s="1">
        <v>423141.91304347821</v>
      </c>
      <c r="C90" s="1">
        <v>423141.92753623187</v>
      </c>
      <c r="D90" s="1">
        <v>1.4492753660306334E-2</v>
      </c>
    </row>
    <row r="91" spans="1:4">
      <c r="A91" s="10" t="s">
        <v>114</v>
      </c>
      <c r="B91" s="1">
        <v>40717.892156862748</v>
      </c>
      <c r="C91" s="1">
        <v>42387.109037647075</v>
      </c>
      <c r="D91" s="1">
        <v>1669.2168807843263</v>
      </c>
    </row>
    <row r="92" spans="1:4">
      <c r="A92" s="10" t="s">
        <v>162</v>
      </c>
      <c r="B92" s="1">
        <v>180000</v>
      </c>
      <c r="C92" s="1">
        <v>332000.00000000012</v>
      </c>
      <c r="D92" s="1">
        <v>152000.00000000012</v>
      </c>
    </row>
    <row r="93" spans="1:4">
      <c r="A93" s="10" t="s">
        <v>38</v>
      </c>
      <c r="B93" s="1">
        <v>-330000</v>
      </c>
      <c r="C93" s="1">
        <v>-330000</v>
      </c>
      <c r="D93" s="1">
        <v>0</v>
      </c>
    </row>
    <row r="94" spans="1:4">
      <c r="A94" s="10" t="s">
        <v>71</v>
      </c>
      <c r="B94" s="1">
        <v>541116.79098039225</v>
      </c>
      <c r="C94" s="1">
        <v>561572.01539381919</v>
      </c>
      <c r="D94" s="1">
        <v>20455.224413427059</v>
      </c>
    </row>
    <row r="95" spans="1:4">
      <c r="A95" s="10" t="s">
        <v>44</v>
      </c>
      <c r="B95" s="1">
        <v>-743003.95025112596</v>
      </c>
      <c r="C95" s="1">
        <v>0</v>
      </c>
      <c r="D95" s="1">
        <v>743003.95025112596</v>
      </c>
    </row>
    <row r="96" spans="1:4">
      <c r="A96" s="10" t="s">
        <v>119</v>
      </c>
      <c r="B96" s="1">
        <v>65602.606666666674</v>
      </c>
      <c r="C96" s="1">
        <v>73933.249939076006</v>
      </c>
      <c r="D96" s="1">
        <v>8330.6432724093356</v>
      </c>
    </row>
    <row r="97" spans="1:4">
      <c r="A97" s="10" t="s">
        <v>92</v>
      </c>
      <c r="B97" s="1">
        <v>625412.94761904771</v>
      </c>
      <c r="C97" s="1">
        <v>603310.54867428588</v>
      </c>
      <c r="D97" s="1">
        <v>-22102.398944761859</v>
      </c>
    </row>
    <row r="98" spans="1:4">
      <c r="A98" s="10" t="s">
        <v>186</v>
      </c>
      <c r="B98" s="1">
        <v>209660.17333333334</v>
      </c>
      <c r="C98" s="1">
        <v>239475.92731904803</v>
      </c>
      <c r="D98" s="1">
        <v>29815.753985714706</v>
      </c>
    </row>
    <row r="99" spans="1:4">
      <c r="A99" s="10" t="s">
        <v>43</v>
      </c>
      <c r="B99" s="1">
        <v>2297941.6780499648</v>
      </c>
      <c r="C99" s="1">
        <v>2347901.9700499643</v>
      </c>
      <c r="D99" s="1">
        <v>49960.291999999841</v>
      </c>
    </row>
    <row r="100" spans="1:4">
      <c r="A100" s="10" t="s">
        <v>304</v>
      </c>
      <c r="B100" s="1">
        <v>5095188.7182652857</v>
      </c>
      <c r="C100" s="1">
        <v>5905587.1896676123</v>
      </c>
      <c r="D100" s="1">
        <v>810398.4714023266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A5C14-8556-4BF3-8A23-727618B6E8E0}">
  <sheetPr codeName="Sheet2"/>
  <dimension ref="A1:K69"/>
  <sheetViews>
    <sheetView workbookViewId="0"/>
  </sheetViews>
  <sheetFormatPr defaultColWidth="9.109375" defaultRowHeight="14.4" outlineLevelCol="2"/>
  <cols>
    <col min="1" max="1" width="34" bestFit="1" customWidth="1" outlineLevel="1"/>
    <col min="2" max="2" width="66.109375" bestFit="1" customWidth="1"/>
    <col min="3" max="3" width="39.109375" customWidth="1"/>
    <col min="4" max="5" width="17.5546875" customWidth="1"/>
    <col min="6" max="6" width="14.88671875" style="10" customWidth="1" outlineLevel="2"/>
    <col min="7" max="7" width="38.88671875" customWidth="1" outlineLevel="2"/>
    <col min="8" max="8" width="9.88671875" customWidth="1" outlineLevel="1"/>
    <col min="9" max="9" width="12.109375" bestFit="1" customWidth="1"/>
    <col min="10" max="10" width="34.5546875" customWidth="1"/>
    <col min="14" max="14" width="23.109375" bestFit="1" customWidth="1"/>
    <col min="15" max="15" width="20.88671875" bestFit="1" customWidth="1"/>
    <col min="16" max="16" width="20.109375" bestFit="1" customWidth="1"/>
    <col min="17" max="17" width="79.109375" bestFit="1" customWidth="1"/>
  </cols>
  <sheetData>
    <row r="1" spans="1:11">
      <c r="A1" t="s">
        <v>3</v>
      </c>
      <c r="B1" t="s">
        <v>5</v>
      </c>
      <c r="C1" s="3" t="s">
        <v>6</v>
      </c>
      <c r="D1" t="s">
        <v>350</v>
      </c>
      <c r="E1" t="s">
        <v>7</v>
      </c>
      <c r="F1" s="10" t="s">
        <v>8</v>
      </c>
      <c r="G1" t="s">
        <v>9</v>
      </c>
      <c r="H1" s="3" t="s">
        <v>351</v>
      </c>
      <c r="I1" s="29" t="s">
        <v>352</v>
      </c>
    </row>
    <row r="2" spans="1:11" ht="15" hidden="1" customHeight="1">
      <c r="A2" t="s">
        <v>39</v>
      </c>
      <c r="B2" t="s">
        <v>41</v>
      </c>
      <c r="C2" t="s">
        <v>42</v>
      </c>
      <c r="F2" s="10" t="s">
        <v>38</v>
      </c>
      <c r="G2" t="s">
        <v>43</v>
      </c>
      <c r="H2" s="43"/>
      <c r="I2" s="49">
        <v>-330000</v>
      </c>
    </row>
    <row r="3" spans="1:11" ht="15" hidden="1" customHeight="1">
      <c r="A3" t="s">
        <v>45</v>
      </c>
      <c r="B3" t="s">
        <v>52</v>
      </c>
      <c r="C3" t="s">
        <v>47</v>
      </c>
      <c r="D3" t="s">
        <v>53</v>
      </c>
      <c r="E3" t="s">
        <v>53</v>
      </c>
      <c r="F3" s="10" t="s">
        <v>54</v>
      </c>
      <c r="G3" t="s">
        <v>55</v>
      </c>
      <c r="H3" s="44"/>
      <c r="I3" s="1">
        <v>0</v>
      </c>
    </row>
    <row r="4" spans="1:11" ht="15" hidden="1" customHeight="1">
      <c r="A4" t="s">
        <v>45</v>
      </c>
      <c r="B4" t="s">
        <v>58</v>
      </c>
      <c r="C4" t="s">
        <v>47</v>
      </c>
      <c r="D4" t="s">
        <v>59</v>
      </c>
      <c r="E4" t="s">
        <v>59</v>
      </c>
      <c r="F4" s="10" t="s">
        <v>54</v>
      </c>
      <c r="G4" t="s">
        <v>60</v>
      </c>
      <c r="H4" s="43"/>
      <c r="I4" s="1">
        <v>202500</v>
      </c>
    </row>
    <row r="5" spans="1:11" ht="15" hidden="1" customHeight="1">
      <c r="A5" t="s">
        <v>45</v>
      </c>
      <c r="B5" t="s">
        <v>64</v>
      </c>
      <c r="C5" t="s">
        <v>65</v>
      </c>
      <c r="D5" t="s">
        <v>66</v>
      </c>
      <c r="E5" t="s">
        <v>66</v>
      </c>
      <c r="F5" s="10" t="s">
        <v>67</v>
      </c>
      <c r="G5" t="s">
        <v>353</v>
      </c>
      <c r="H5" s="51">
        <v>1496</v>
      </c>
      <c r="I5" s="52">
        <v>78598.666666666672</v>
      </c>
    </row>
    <row r="6" spans="1:11" ht="15" hidden="1" customHeight="1">
      <c r="A6" t="s">
        <v>45</v>
      </c>
      <c r="B6" t="s">
        <v>64</v>
      </c>
      <c r="C6" t="s">
        <v>72</v>
      </c>
      <c r="D6" t="s">
        <v>73</v>
      </c>
      <c r="E6" t="s">
        <v>73</v>
      </c>
      <c r="F6" s="10" t="s">
        <v>67</v>
      </c>
      <c r="G6" t="s">
        <v>74</v>
      </c>
      <c r="H6" s="51">
        <v>1871</v>
      </c>
      <c r="I6" s="52">
        <v>52469</v>
      </c>
    </row>
    <row r="7" spans="1:11" ht="15" hidden="1" customHeight="1">
      <c r="A7" t="s">
        <v>45</v>
      </c>
      <c r="B7" t="s">
        <v>77</v>
      </c>
      <c r="C7" t="s">
        <v>47</v>
      </c>
      <c r="D7" t="s">
        <v>53</v>
      </c>
      <c r="E7" t="s">
        <v>53</v>
      </c>
      <c r="F7" s="10" t="s">
        <v>54</v>
      </c>
      <c r="G7" t="s">
        <v>43</v>
      </c>
      <c r="H7" s="53"/>
      <c r="I7" s="52">
        <v>0</v>
      </c>
    </row>
    <row r="8" spans="1:11" ht="15" hidden="1" customHeight="1">
      <c r="A8" t="s">
        <v>45</v>
      </c>
      <c r="B8" t="s">
        <v>80</v>
      </c>
      <c r="C8" t="s">
        <v>47</v>
      </c>
      <c r="D8" t="s">
        <v>81</v>
      </c>
      <c r="E8" t="s">
        <v>81</v>
      </c>
      <c r="F8" s="10" t="s">
        <v>54</v>
      </c>
      <c r="G8" t="s">
        <v>43</v>
      </c>
      <c r="H8" s="53"/>
      <c r="I8" s="52">
        <v>0</v>
      </c>
    </row>
    <row r="9" spans="1:11" ht="15" hidden="1" customHeight="1">
      <c r="A9" t="s">
        <v>45</v>
      </c>
      <c r="B9" t="s">
        <v>84</v>
      </c>
      <c r="C9" t="s">
        <v>85</v>
      </c>
      <c r="D9" t="s">
        <v>86</v>
      </c>
      <c r="E9" t="s">
        <v>86</v>
      </c>
      <c r="F9" s="10" t="s">
        <v>67</v>
      </c>
      <c r="H9" s="51">
        <v>3720</v>
      </c>
      <c r="I9" s="52">
        <v>423141.91304347821</v>
      </c>
    </row>
    <row r="10" spans="1:11" ht="15" hidden="1" customHeight="1">
      <c r="A10" t="s">
        <v>45</v>
      </c>
      <c r="B10" t="s">
        <v>88</v>
      </c>
      <c r="C10" t="s">
        <v>47</v>
      </c>
      <c r="D10" t="s">
        <v>89</v>
      </c>
      <c r="E10" t="s">
        <v>89</v>
      </c>
      <c r="F10" s="10" t="s">
        <v>54</v>
      </c>
      <c r="G10" t="s">
        <v>43</v>
      </c>
      <c r="H10" s="43"/>
      <c r="I10" s="1">
        <v>370000</v>
      </c>
    </row>
    <row r="11" spans="1:11" ht="15" hidden="1" customHeight="1">
      <c r="A11" t="s">
        <v>45</v>
      </c>
      <c r="B11" t="s">
        <v>93</v>
      </c>
      <c r="C11" t="s">
        <v>94</v>
      </c>
      <c r="D11" t="s">
        <v>53</v>
      </c>
      <c r="E11" t="s">
        <v>53</v>
      </c>
      <c r="F11" s="10" t="s">
        <v>67</v>
      </c>
      <c r="G11" t="s">
        <v>354</v>
      </c>
      <c r="H11" s="45">
        <v>721</v>
      </c>
      <c r="I11" s="1">
        <v>124588.8</v>
      </c>
    </row>
    <row r="12" spans="1:11" ht="15" hidden="1" customHeight="1">
      <c r="A12" t="s">
        <v>45</v>
      </c>
      <c r="B12" t="s">
        <v>97</v>
      </c>
      <c r="C12" t="s">
        <v>65</v>
      </c>
      <c r="D12" t="s">
        <v>66</v>
      </c>
      <c r="E12" t="s">
        <v>66</v>
      </c>
      <c r="F12" s="10" t="s">
        <v>67</v>
      </c>
      <c r="G12" t="s">
        <v>355</v>
      </c>
      <c r="H12" s="45">
        <v>2244</v>
      </c>
      <c r="I12" s="1">
        <v>117898</v>
      </c>
    </row>
    <row r="13" spans="1:11" ht="15" hidden="1" customHeight="1">
      <c r="A13" t="s">
        <v>45</v>
      </c>
      <c r="B13" t="s">
        <v>101</v>
      </c>
      <c r="C13" t="s">
        <v>102</v>
      </c>
      <c r="D13" t="s">
        <v>66</v>
      </c>
      <c r="E13" t="s">
        <v>66</v>
      </c>
      <c r="F13" s="10" t="s">
        <v>67</v>
      </c>
      <c r="G13" t="s">
        <v>103</v>
      </c>
      <c r="H13" s="45">
        <v>1550.0000000000002</v>
      </c>
      <c r="I13" s="1">
        <v>81435.784313725497</v>
      </c>
    </row>
    <row r="14" spans="1:11" ht="15" hidden="1" customHeight="1">
      <c r="A14" t="s">
        <v>45</v>
      </c>
      <c r="B14" t="s">
        <v>107</v>
      </c>
      <c r="C14" t="s">
        <v>47</v>
      </c>
      <c r="D14" t="s">
        <v>108</v>
      </c>
      <c r="E14" t="s">
        <v>108</v>
      </c>
      <c r="F14" s="10" t="s">
        <v>109</v>
      </c>
      <c r="H14" s="43"/>
      <c r="I14" s="1">
        <v>50000</v>
      </c>
    </row>
    <row r="15" spans="1:11" ht="15" hidden="1" customHeight="1">
      <c r="A15" t="s">
        <v>45</v>
      </c>
      <c r="B15" t="s">
        <v>113</v>
      </c>
      <c r="C15" t="s">
        <v>47</v>
      </c>
      <c r="D15" t="s">
        <v>108</v>
      </c>
      <c r="E15" t="s">
        <v>108</v>
      </c>
      <c r="F15" s="10" t="s">
        <v>109</v>
      </c>
      <c r="H15" s="43"/>
      <c r="I15" s="1">
        <v>50000</v>
      </c>
    </row>
    <row r="16" spans="1:11" ht="15" hidden="1" customHeight="1">
      <c r="A16" t="s">
        <v>39</v>
      </c>
      <c r="B16" t="s">
        <v>115</v>
      </c>
      <c r="C16" t="s">
        <v>116</v>
      </c>
      <c r="D16" t="s">
        <v>53</v>
      </c>
      <c r="E16" t="s">
        <v>53</v>
      </c>
      <c r="F16" s="10" t="s">
        <v>67</v>
      </c>
      <c r="G16" t="s">
        <v>117</v>
      </c>
      <c r="H16" s="45">
        <v>283.8</v>
      </c>
      <c r="I16" s="1">
        <v>42144.30000000001</v>
      </c>
      <c r="K16" s="1"/>
    </row>
    <row r="17" spans="1:9" ht="15" hidden="1" customHeight="1">
      <c r="A17" t="s">
        <v>45</v>
      </c>
      <c r="B17" t="s">
        <v>120</v>
      </c>
      <c r="C17" t="s">
        <v>72</v>
      </c>
      <c r="D17" t="s">
        <v>73</v>
      </c>
      <c r="E17" t="s">
        <v>73</v>
      </c>
      <c r="F17" s="10" t="s">
        <v>67</v>
      </c>
      <c r="G17" t="s">
        <v>121</v>
      </c>
      <c r="H17" s="45">
        <v>654.8499999999998</v>
      </c>
      <c r="I17" s="1">
        <v>18361.993999999995</v>
      </c>
    </row>
    <row r="18" spans="1:9" ht="15" hidden="1" customHeight="1">
      <c r="A18" t="s">
        <v>45</v>
      </c>
      <c r="B18" t="s">
        <v>122</v>
      </c>
      <c r="C18" t="s">
        <v>65</v>
      </c>
      <c r="D18" t="s">
        <v>66</v>
      </c>
      <c r="E18" t="s">
        <v>73</v>
      </c>
      <c r="F18" s="10" t="s">
        <v>67</v>
      </c>
      <c r="G18" t="s">
        <v>356</v>
      </c>
      <c r="H18" s="45">
        <v>374</v>
      </c>
      <c r="I18" s="1">
        <v>19649.666666666668</v>
      </c>
    </row>
    <row r="19" spans="1:9" ht="15" hidden="1" customHeight="1">
      <c r="A19" t="s">
        <v>45</v>
      </c>
      <c r="B19" t="s">
        <v>125</v>
      </c>
      <c r="C19" t="s">
        <v>126</v>
      </c>
      <c r="D19" t="s">
        <v>73</v>
      </c>
      <c r="E19" t="s">
        <v>73</v>
      </c>
      <c r="F19" s="10" t="s">
        <v>67</v>
      </c>
      <c r="G19" t="s">
        <v>127</v>
      </c>
      <c r="H19" s="45">
        <v>936</v>
      </c>
      <c r="I19" s="1">
        <v>19721.52</v>
      </c>
    </row>
    <row r="20" spans="1:9" ht="15" hidden="1" customHeight="1">
      <c r="A20" t="s">
        <v>45</v>
      </c>
      <c r="B20" t="s">
        <v>129</v>
      </c>
      <c r="C20" t="s">
        <v>47</v>
      </c>
      <c r="D20" t="s">
        <v>130</v>
      </c>
      <c r="E20" t="s">
        <v>130</v>
      </c>
      <c r="F20" s="10" t="s">
        <v>54</v>
      </c>
      <c r="G20" t="s">
        <v>357</v>
      </c>
      <c r="H20" s="43"/>
      <c r="I20" s="1">
        <v>87000</v>
      </c>
    </row>
    <row r="21" spans="1:9" ht="15" hidden="1" customHeight="1">
      <c r="A21" t="s">
        <v>39</v>
      </c>
      <c r="B21" t="s">
        <v>134</v>
      </c>
      <c r="C21" t="s">
        <v>135</v>
      </c>
      <c r="D21" t="s">
        <v>136</v>
      </c>
      <c r="E21" t="s">
        <v>136</v>
      </c>
      <c r="F21" s="10" t="s">
        <v>67</v>
      </c>
      <c r="G21" t="s">
        <v>137</v>
      </c>
      <c r="H21" s="45">
        <v>1617</v>
      </c>
      <c r="I21" s="1">
        <v>226865.10000000006</v>
      </c>
    </row>
    <row r="22" spans="1:9" ht="15" hidden="1" customHeight="1">
      <c r="A22" t="s">
        <v>45</v>
      </c>
      <c r="B22" t="s">
        <v>139</v>
      </c>
      <c r="C22" t="s">
        <v>47</v>
      </c>
      <c r="D22" t="s">
        <v>130</v>
      </c>
      <c r="E22" t="s">
        <v>130</v>
      </c>
      <c r="F22" s="10" t="s">
        <v>54</v>
      </c>
      <c r="G22" t="s">
        <v>140</v>
      </c>
      <c r="H22" s="43"/>
      <c r="I22" s="1">
        <v>355125</v>
      </c>
    </row>
    <row r="23" spans="1:9" ht="15" hidden="1" customHeight="1">
      <c r="A23" t="s">
        <v>45</v>
      </c>
      <c r="B23" t="s">
        <v>154</v>
      </c>
      <c r="C23" t="s">
        <v>47</v>
      </c>
      <c r="D23" t="s">
        <v>155</v>
      </c>
      <c r="E23" t="s">
        <v>155</v>
      </c>
      <c r="F23" s="10" t="s">
        <v>54</v>
      </c>
      <c r="G23" t="s">
        <v>43</v>
      </c>
      <c r="H23" s="43"/>
      <c r="I23" s="1">
        <v>98689.339383297905</v>
      </c>
    </row>
    <row r="24" spans="1:9" ht="15" hidden="1" customHeight="1">
      <c r="A24" t="s">
        <v>45</v>
      </c>
      <c r="B24" t="s">
        <v>157</v>
      </c>
      <c r="C24" t="s">
        <v>47</v>
      </c>
      <c r="D24" t="s">
        <v>59</v>
      </c>
      <c r="E24" t="s">
        <v>59</v>
      </c>
      <c r="F24" s="10" t="s">
        <v>54</v>
      </c>
      <c r="G24" t="s">
        <v>43</v>
      </c>
      <c r="H24" s="43"/>
      <c r="I24" s="1">
        <v>80000</v>
      </c>
    </row>
    <row r="25" spans="1:9" ht="15" hidden="1" customHeight="1">
      <c r="A25" t="s">
        <v>45</v>
      </c>
      <c r="B25" t="s">
        <v>161</v>
      </c>
      <c r="C25" t="s">
        <v>47</v>
      </c>
      <c r="D25" t="s">
        <v>108</v>
      </c>
      <c r="E25" t="s">
        <v>108</v>
      </c>
      <c r="F25" s="10" t="s">
        <v>54</v>
      </c>
      <c r="G25" t="s">
        <v>43</v>
      </c>
      <c r="H25" s="43"/>
      <c r="I25" s="1">
        <v>90000</v>
      </c>
    </row>
    <row r="26" spans="1:9" ht="15" hidden="1" customHeight="1">
      <c r="A26" t="s">
        <v>45</v>
      </c>
      <c r="B26" t="s">
        <v>164</v>
      </c>
      <c r="C26" t="s">
        <v>47</v>
      </c>
      <c r="D26" t="s">
        <v>89</v>
      </c>
      <c r="E26" t="s">
        <v>89</v>
      </c>
      <c r="F26" s="10" t="s">
        <v>54</v>
      </c>
      <c r="G26" t="s">
        <v>165</v>
      </c>
      <c r="H26" s="44"/>
      <c r="I26" s="1">
        <v>180000</v>
      </c>
    </row>
    <row r="27" spans="1:9" ht="15" hidden="1" customHeight="1">
      <c r="A27" t="s">
        <v>45</v>
      </c>
      <c r="B27" t="s">
        <v>169</v>
      </c>
      <c r="C27" t="s">
        <v>47</v>
      </c>
      <c r="D27" t="s">
        <v>89</v>
      </c>
      <c r="E27" t="s">
        <v>89</v>
      </c>
      <c r="F27" s="10" t="s">
        <v>54</v>
      </c>
      <c r="G27" t="s">
        <v>43</v>
      </c>
      <c r="H27" s="43"/>
      <c r="I27" s="1">
        <v>682500</v>
      </c>
    </row>
    <row r="28" spans="1:9" ht="15" hidden="1" customHeight="1">
      <c r="A28" t="s">
        <v>45</v>
      </c>
      <c r="B28" t="s">
        <v>174</v>
      </c>
      <c r="C28" t="s">
        <v>47</v>
      </c>
      <c r="D28" t="s">
        <v>130</v>
      </c>
      <c r="E28" t="s">
        <v>130</v>
      </c>
      <c r="F28" s="10" t="s">
        <v>54</v>
      </c>
      <c r="G28" t="s">
        <v>175</v>
      </c>
      <c r="H28" s="43"/>
      <c r="I28" s="1">
        <v>136028.67200000002</v>
      </c>
    </row>
    <row r="29" spans="1:9" ht="15" hidden="1" customHeight="1">
      <c r="A29" t="s">
        <v>39</v>
      </c>
      <c r="B29" t="s">
        <v>177</v>
      </c>
      <c r="C29" t="s">
        <v>65</v>
      </c>
      <c r="D29" t="s">
        <v>66</v>
      </c>
      <c r="E29" t="s">
        <v>66</v>
      </c>
      <c r="F29" s="10" t="s">
        <v>67</v>
      </c>
      <c r="G29" t="s">
        <v>353</v>
      </c>
      <c r="H29" s="45">
        <v>1496</v>
      </c>
      <c r="I29" s="1">
        <v>78598.666666666672</v>
      </c>
    </row>
    <row r="30" spans="1:9" ht="15" hidden="1" customHeight="1">
      <c r="A30" t="s">
        <v>45</v>
      </c>
      <c r="B30" t="s">
        <v>179</v>
      </c>
      <c r="C30" t="s">
        <v>65</v>
      </c>
      <c r="D30" t="s">
        <v>66</v>
      </c>
      <c r="E30" t="s">
        <v>66</v>
      </c>
      <c r="F30" s="10" t="s">
        <v>67</v>
      </c>
      <c r="G30" t="s">
        <v>353</v>
      </c>
      <c r="H30" s="45">
        <v>748</v>
      </c>
      <c r="I30" s="1">
        <v>39299.333333333336</v>
      </c>
    </row>
    <row r="31" spans="1:9" ht="15" hidden="1" customHeight="1">
      <c r="A31" t="s">
        <v>39</v>
      </c>
      <c r="B31" t="s">
        <v>182</v>
      </c>
      <c r="C31" t="s">
        <v>47</v>
      </c>
      <c r="D31" t="s">
        <v>108</v>
      </c>
      <c r="E31" t="s">
        <v>108</v>
      </c>
      <c r="F31" s="10" t="s">
        <v>54</v>
      </c>
      <c r="G31" t="s">
        <v>43</v>
      </c>
      <c r="H31" s="43"/>
      <c r="I31" s="1">
        <v>20000</v>
      </c>
    </row>
    <row r="32" spans="1:9" ht="15" hidden="1" customHeight="1">
      <c r="A32" t="s">
        <v>45</v>
      </c>
      <c r="B32" s="5" t="s">
        <v>183</v>
      </c>
      <c r="C32" t="s">
        <v>65</v>
      </c>
      <c r="D32" t="s">
        <v>66</v>
      </c>
      <c r="E32" t="s">
        <v>66</v>
      </c>
      <c r="F32" s="10" t="s">
        <v>67</v>
      </c>
      <c r="G32" t="s">
        <v>184</v>
      </c>
      <c r="H32" s="45">
        <v>1496</v>
      </c>
      <c r="I32" s="1">
        <v>78598.666666666672</v>
      </c>
    </row>
    <row r="33" spans="1:9" ht="15" hidden="1" customHeight="1">
      <c r="A33" t="s">
        <v>45</v>
      </c>
      <c r="B33" t="s">
        <v>187</v>
      </c>
      <c r="C33" t="s">
        <v>72</v>
      </c>
      <c r="D33" t="s">
        <v>73</v>
      </c>
      <c r="E33" t="s">
        <v>73</v>
      </c>
      <c r="F33" s="10" t="s">
        <v>67</v>
      </c>
      <c r="G33" t="s">
        <v>188</v>
      </c>
      <c r="H33" s="45">
        <v>1871</v>
      </c>
      <c r="I33" s="1">
        <v>52462.84</v>
      </c>
    </row>
    <row r="34" spans="1:9" ht="15" hidden="1" customHeight="1">
      <c r="A34" t="s">
        <v>45</v>
      </c>
      <c r="B34" t="s">
        <v>190</v>
      </c>
      <c r="C34" t="s">
        <v>65</v>
      </c>
      <c r="D34" t="s">
        <v>66</v>
      </c>
      <c r="E34" t="s">
        <v>66</v>
      </c>
      <c r="F34" s="10" t="s">
        <v>67</v>
      </c>
      <c r="G34" t="s">
        <v>358</v>
      </c>
      <c r="H34" s="45">
        <v>2992</v>
      </c>
      <c r="I34" s="1">
        <v>157197.33333333334</v>
      </c>
    </row>
    <row r="35" spans="1:9" ht="15" hidden="1" customHeight="1">
      <c r="A35" t="s">
        <v>45</v>
      </c>
      <c r="B35" t="s">
        <v>93</v>
      </c>
      <c r="C35" t="s">
        <v>135</v>
      </c>
      <c r="D35" t="s">
        <v>136</v>
      </c>
      <c r="E35" t="s">
        <v>136</v>
      </c>
      <c r="F35" s="10" t="s">
        <v>67</v>
      </c>
      <c r="G35" t="s">
        <v>193</v>
      </c>
      <c r="H35" s="45">
        <v>511.65869056104253</v>
      </c>
      <c r="I35" s="1">
        <v>71785.71428571429</v>
      </c>
    </row>
    <row r="36" spans="1:9" ht="15" hidden="1" customHeight="1">
      <c r="A36" t="s">
        <v>39</v>
      </c>
      <c r="B36" t="s">
        <v>194</v>
      </c>
      <c r="C36" t="s">
        <v>116</v>
      </c>
      <c r="D36" t="s">
        <v>53</v>
      </c>
      <c r="E36" t="s">
        <v>53</v>
      </c>
      <c r="F36" s="10" t="s">
        <v>67</v>
      </c>
      <c r="G36" t="s">
        <v>195</v>
      </c>
      <c r="H36" s="45">
        <v>1419</v>
      </c>
      <c r="I36" s="1">
        <v>210721.50000000003</v>
      </c>
    </row>
    <row r="37" spans="1:9" ht="15" hidden="1" customHeight="1">
      <c r="A37" t="s">
        <v>45</v>
      </c>
      <c r="B37" t="s">
        <v>196</v>
      </c>
      <c r="C37" t="s">
        <v>197</v>
      </c>
      <c r="D37" t="s">
        <v>66</v>
      </c>
      <c r="E37" t="s">
        <v>66</v>
      </c>
      <c r="F37" s="10" t="s">
        <v>67</v>
      </c>
      <c r="G37" t="s">
        <v>198</v>
      </c>
      <c r="H37" s="45">
        <v>1550</v>
      </c>
      <c r="I37" s="1">
        <v>81437</v>
      </c>
    </row>
    <row r="38" spans="1:9" ht="15" hidden="1" customHeight="1">
      <c r="A38" t="s">
        <v>45</v>
      </c>
      <c r="B38" t="s">
        <v>200</v>
      </c>
      <c r="C38" t="s">
        <v>197</v>
      </c>
      <c r="D38" t="s">
        <v>66</v>
      </c>
      <c r="E38" t="s">
        <v>66</v>
      </c>
      <c r="F38" s="10" t="s">
        <v>67</v>
      </c>
      <c r="G38" t="s">
        <v>201</v>
      </c>
      <c r="H38" s="45">
        <v>1550</v>
      </c>
      <c r="I38" s="1">
        <v>81437</v>
      </c>
    </row>
    <row r="39" spans="1:9" ht="15" hidden="1" customHeight="1">
      <c r="A39" t="s">
        <v>45</v>
      </c>
      <c r="B39" t="s">
        <v>202</v>
      </c>
      <c r="C39" t="s">
        <v>47</v>
      </c>
      <c r="D39" t="s">
        <v>108</v>
      </c>
      <c r="E39" t="s">
        <v>108</v>
      </c>
      <c r="F39" s="10" t="s">
        <v>54</v>
      </c>
      <c r="H39" s="44"/>
      <c r="I39" s="1">
        <v>0</v>
      </c>
    </row>
    <row r="40" spans="1:9" ht="15" hidden="1" customHeight="1">
      <c r="A40" t="s">
        <v>359</v>
      </c>
      <c r="B40" t="s">
        <v>52</v>
      </c>
      <c r="C40" t="s">
        <v>47</v>
      </c>
      <c r="D40" t="s">
        <v>53</v>
      </c>
      <c r="E40" t="s">
        <v>53</v>
      </c>
      <c r="F40" s="10" t="s">
        <v>54</v>
      </c>
      <c r="G40" t="s">
        <v>55</v>
      </c>
      <c r="H40" s="45"/>
      <c r="I40" s="49">
        <v>250000</v>
      </c>
    </row>
    <row r="41" spans="1:9" ht="15" hidden="1" customHeight="1">
      <c r="A41" t="s">
        <v>359</v>
      </c>
      <c r="B41" t="s">
        <v>58</v>
      </c>
      <c r="C41" t="s">
        <v>47</v>
      </c>
      <c r="D41" t="s">
        <v>59</v>
      </c>
      <c r="E41" t="s">
        <v>59</v>
      </c>
      <c r="F41" s="10" t="s">
        <v>54</v>
      </c>
      <c r="G41" t="s">
        <v>60</v>
      </c>
      <c r="H41" s="45"/>
      <c r="I41" s="1">
        <v>67500</v>
      </c>
    </row>
    <row r="42" spans="1:9" ht="15" hidden="1" customHeight="1">
      <c r="A42" t="s">
        <v>359</v>
      </c>
      <c r="B42" t="s">
        <v>84</v>
      </c>
      <c r="C42" t="s">
        <v>85</v>
      </c>
      <c r="D42" t="s">
        <v>86</v>
      </c>
      <c r="E42" t="s">
        <v>86</v>
      </c>
      <c r="F42" s="10" t="s">
        <v>67</v>
      </c>
      <c r="H42" s="45">
        <v>3720</v>
      </c>
      <c r="I42" s="1">
        <v>423141.91304347821</v>
      </c>
    </row>
    <row r="43" spans="1:9" ht="15" hidden="1" customHeight="1">
      <c r="A43" t="s">
        <v>359</v>
      </c>
      <c r="B43" t="s">
        <v>97</v>
      </c>
      <c r="C43" t="s">
        <v>65</v>
      </c>
      <c r="D43" t="s">
        <v>66</v>
      </c>
      <c r="E43" t="s">
        <v>66</v>
      </c>
      <c r="F43" s="10" t="s">
        <v>67</v>
      </c>
      <c r="G43" t="s">
        <v>360</v>
      </c>
      <c r="H43" s="45">
        <v>2244</v>
      </c>
      <c r="I43" s="1">
        <v>78598.666666666672</v>
      </c>
    </row>
    <row r="44" spans="1:9" ht="15" hidden="1" customHeight="1">
      <c r="A44" t="s">
        <v>359</v>
      </c>
      <c r="B44" t="s">
        <v>107</v>
      </c>
      <c r="C44" t="s">
        <v>47</v>
      </c>
      <c r="D44" t="s">
        <v>108</v>
      </c>
      <c r="E44" t="s">
        <v>108</v>
      </c>
      <c r="F44" s="10" t="s">
        <v>109</v>
      </c>
      <c r="H44" s="45"/>
      <c r="I44" s="1">
        <v>75000</v>
      </c>
    </row>
    <row r="45" spans="1:9" ht="15" hidden="1" customHeight="1">
      <c r="A45" t="s">
        <v>359</v>
      </c>
      <c r="B45" t="s">
        <v>113</v>
      </c>
      <c r="C45" t="s">
        <v>47</v>
      </c>
      <c r="D45" t="s">
        <v>108</v>
      </c>
      <c r="E45" t="s">
        <v>108</v>
      </c>
      <c r="F45" s="10" t="s">
        <v>109</v>
      </c>
      <c r="H45" s="45"/>
      <c r="I45" s="1">
        <v>75000</v>
      </c>
    </row>
    <row r="46" spans="1:9" ht="15" hidden="1" customHeight="1">
      <c r="A46" t="s">
        <v>359</v>
      </c>
      <c r="B46" t="s">
        <v>115</v>
      </c>
      <c r="C46" t="s">
        <v>116</v>
      </c>
      <c r="D46" t="s">
        <v>53</v>
      </c>
      <c r="E46" t="s">
        <v>53</v>
      </c>
      <c r="F46" s="10" t="s">
        <v>67</v>
      </c>
      <c r="G46" t="s">
        <v>117</v>
      </c>
      <c r="H46" s="50">
        <v>425.69999999999993</v>
      </c>
      <c r="I46" s="49">
        <v>63216.450000000004</v>
      </c>
    </row>
    <row r="47" spans="1:9" ht="15" hidden="1" customHeight="1">
      <c r="A47" t="s">
        <v>359</v>
      </c>
      <c r="B47" t="s">
        <v>151</v>
      </c>
      <c r="C47" t="s">
        <v>47</v>
      </c>
      <c r="D47" s="56" t="s">
        <v>146</v>
      </c>
      <c r="E47" s="56" t="s">
        <v>146</v>
      </c>
      <c r="F47" s="10" t="s">
        <v>54</v>
      </c>
      <c r="G47" t="s">
        <v>147</v>
      </c>
      <c r="H47" s="45"/>
      <c r="I47" s="1">
        <v>286993.91999999998</v>
      </c>
    </row>
    <row r="48" spans="1:9" ht="15" hidden="1" customHeight="1">
      <c r="A48" t="s">
        <v>359</v>
      </c>
      <c r="B48" t="s">
        <v>157</v>
      </c>
      <c r="C48" t="s">
        <v>47</v>
      </c>
      <c r="D48" t="s">
        <v>59</v>
      </c>
      <c r="E48" t="s">
        <v>59</v>
      </c>
      <c r="F48" s="10" t="s">
        <v>54</v>
      </c>
      <c r="G48" t="s">
        <v>43</v>
      </c>
      <c r="H48" s="45"/>
      <c r="I48" s="1">
        <v>70000</v>
      </c>
    </row>
    <row r="49" spans="1:9" ht="15" hidden="1" customHeight="1">
      <c r="A49" t="s">
        <v>359</v>
      </c>
      <c r="B49" t="s">
        <v>161</v>
      </c>
      <c r="C49" t="s">
        <v>47</v>
      </c>
      <c r="D49" t="s">
        <v>108</v>
      </c>
      <c r="E49" t="s">
        <v>108</v>
      </c>
      <c r="F49" s="10" t="s">
        <v>54</v>
      </c>
      <c r="G49" t="s">
        <v>43</v>
      </c>
      <c r="H49" s="45"/>
      <c r="I49" s="1">
        <v>270000</v>
      </c>
    </row>
    <row r="50" spans="1:9" ht="15" hidden="1" customHeight="1">
      <c r="A50" t="s">
        <v>359</v>
      </c>
      <c r="B50" t="s">
        <v>169</v>
      </c>
      <c r="C50" t="s">
        <v>47</v>
      </c>
      <c r="D50" t="s">
        <v>89</v>
      </c>
      <c r="E50" t="s">
        <v>89</v>
      </c>
      <c r="F50" s="10" t="s">
        <v>54</v>
      </c>
      <c r="G50" t="s">
        <v>43</v>
      </c>
      <c r="H50" s="45"/>
      <c r="I50" s="1">
        <v>292500</v>
      </c>
    </row>
    <row r="51" spans="1:9" ht="15" hidden="1" customHeight="1">
      <c r="A51" t="s">
        <v>359</v>
      </c>
      <c r="B51" t="s">
        <v>182</v>
      </c>
      <c r="C51" t="s">
        <v>47</v>
      </c>
      <c r="D51" t="s">
        <v>108</v>
      </c>
      <c r="E51" t="s">
        <v>108</v>
      </c>
      <c r="F51" s="10" t="s">
        <v>54</v>
      </c>
      <c r="G51" t="s">
        <v>43</v>
      </c>
      <c r="H51" s="45"/>
      <c r="I51" s="1">
        <v>30000</v>
      </c>
    </row>
    <row r="52" spans="1:9">
      <c r="H52" s="1"/>
      <c r="I52" s="1">
        <f>SUBTOTAL(109,Table4268[Amount])</f>
        <v>0</v>
      </c>
    </row>
    <row r="53" spans="1:9">
      <c r="I53" s="1"/>
    </row>
    <row r="56" spans="1:9">
      <c r="I56" s="27"/>
    </row>
    <row r="57" spans="1:9">
      <c r="I57" s="27"/>
    </row>
    <row r="58" spans="1:9">
      <c r="I58" s="27"/>
    </row>
    <row r="59" spans="1:9">
      <c r="I59" s="27"/>
    </row>
    <row r="60" spans="1:9">
      <c r="I60" s="27"/>
    </row>
    <row r="61" spans="1:9">
      <c r="I61" s="27"/>
    </row>
    <row r="62" spans="1:9">
      <c r="I62" s="27"/>
    </row>
    <row r="63" spans="1:9">
      <c r="I63" s="27"/>
    </row>
    <row r="64" spans="1:9">
      <c r="I64" s="27"/>
    </row>
    <row r="65" spans="9:9">
      <c r="I65" s="27"/>
    </row>
    <row r="66" spans="9:9">
      <c r="I66" s="27"/>
    </row>
    <row r="67" spans="9:9">
      <c r="I67" s="27"/>
    </row>
    <row r="68" spans="9:9">
      <c r="I68" s="2"/>
    </row>
    <row r="69" spans="9:9">
      <c r="I69" s="25"/>
    </row>
  </sheetData>
  <phoneticPr fontId="8" type="noConversion"/>
  <pageMargins left="0.7" right="0.7" top="0.75" bottom="0.75" header="0.3" footer="0.3"/>
  <ignoredErrors>
    <ignoredError sqref="H5:H6 H9 H11:H13 H16:H22 H29:H30 H32:H38 H42:H43" calculatedColumn="1"/>
  </ignoredErrors>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D8AE0-8E7D-48C0-8242-FF19A00E3BD1}">
  <sheetPr codeName="Sheet5"/>
  <dimension ref="A4:E37"/>
  <sheetViews>
    <sheetView workbookViewId="0"/>
  </sheetViews>
  <sheetFormatPr defaultColWidth="11.44140625" defaultRowHeight="13.2"/>
  <cols>
    <col min="1" max="1" width="11.88671875" style="36" bestFit="1" customWidth="1"/>
    <col min="2" max="2" width="31.109375" style="36" customWidth="1"/>
    <col min="3" max="3" width="12.88671875" style="36" bestFit="1" customWidth="1"/>
    <col min="4" max="4" width="11.88671875" style="36" bestFit="1" customWidth="1"/>
    <col min="5" max="16384" width="11.44140625" style="36"/>
  </cols>
  <sheetData>
    <row r="4" spans="1:4">
      <c r="B4" s="36" t="s">
        <v>431</v>
      </c>
    </row>
    <row r="5" spans="1:4">
      <c r="B5" s="41">
        <f>SUM(A6:A9)</f>
        <v>1364375</v>
      </c>
    </row>
    <row r="6" spans="1:4">
      <c r="A6" s="41">
        <v>626875</v>
      </c>
      <c r="B6" s="41"/>
    </row>
    <row r="7" spans="1:4">
      <c r="A7" s="41">
        <v>626875</v>
      </c>
      <c r="B7" s="41"/>
    </row>
    <row r="8" spans="1:4">
      <c r="A8" s="41">
        <v>55312.5</v>
      </c>
      <c r="B8" s="41"/>
    </row>
    <row r="9" spans="1:4">
      <c r="A9" s="41">
        <v>55312.5</v>
      </c>
      <c r="B9" s="41"/>
    </row>
    <row r="11" spans="1:4">
      <c r="A11" s="36" t="s">
        <v>432</v>
      </c>
      <c r="B11" s="36" t="s">
        <v>433</v>
      </c>
      <c r="C11" s="36" t="s">
        <v>343</v>
      </c>
      <c r="D11" s="36" t="s">
        <v>16</v>
      </c>
    </row>
    <row r="12" spans="1:4" ht="14.4">
      <c r="A12" s="39" t="s">
        <v>434</v>
      </c>
      <c r="B12" s="39" t="s">
        <v>435</v>
      </c>
      <c r="C12" s="38">
        <v>940241.92000000004</v>
      </c>
    </row>
    <row r="13" spans="1:4">
      <c r="A13" s="36" t="s">
        <v>436</v>
      </c>
      <c r="B13" s="36" t="s">
        <v>437</v>
      </c>
      <c r="D13" s="37">
        <f>C14*-1</f>
        <v>286993.91999999993</v>
      </c>
    </row>
    <row r="14" spans="1:4">
      <c r="A14" s="40" t="s">
        <v>434</v>
      </c>
      <c r="B14" s="40" t="s">
        <v>438</v>
      </c>
      <c r="C14" s="37">
        <v>-286993.91999999993</v>
      </c>
    </row>
    <row r="15" spans="1:4" ht="14.4">
      <c r="A15" s="39" t="s">
        <v>439</v>
      </c>
      <c r="B15" s="39" t="s">
        <v>435</v>
      </c>
      <c r="C15" s="38">
        <v>711127</v>
      </c>
    </row>
    <row r="16" spans="1:4">
      <c r="C16" s="37">
        <f>SUM(C12:C15)</f>
        <v>1364375</v>
      </c>
    </row>
    <row r="19" spans="2:5">
      <c r="C19" s="36">
        <v>1588006.08</v>
      </c>
      <c r="D19" s="37">
        <f>C16+D13-C19</f>
        <v>63362.839999999851</v>
      </c>
    </row>
    <row r="22" spans="2:5">
      <c r="D22" s="36">
        <v>63362.839999999902</v>
      </c>
    </row>
    <row r="27" spans="2:5" ht="14.4">
      <c r="B27" s="36">
        <f>C27/$C$34</f>
        <v>0.32340436324088839</v>
      </c>
      <c r="C27" s="42">
        <f>(1475000*0.85)/2</f>
        <v>626875</v>
      </c>
      <c r="D27" s="41">
        <f>B27*$C$37</f>
        <v>-92815.085951606437</v>
      </c>
      <c r="E27" s="41">
        <f>C27+D27</f>
        <v>534059.91404839361</v>
      </c>
    </row>
    <row r="28" spans="2:5" ht="14.4">
      <c r="B28" s="36">
        <f>C28/$C$34</f>
        <v>0.32340436324088839</v>
      </c>
      <c r="C28" s="42">
        <f>(1475000*0.85)/2</f>
        <v>626875</v>
      </c>
      <c r="D28" s="41">
        <f>B28*$C$37</f>
        <v>-92815.085951606437</v>
      </c>
      <c r="E28" s="41">
        <f t="shared" ref="E28:E33" si="0">C28+D28</f>
        <v>534059.91404839361</v>
      </c>
    </row>
    <row r="29" spans="2:5" ht="14.4">
      <c r="B29" s="36">
        <f>C29/$C$34</f>
        <v>5.7071358218980309E-2</v>
      </c>
      <c r="C29" s="42">
        <f>(1475000*0.15)/2</f>
        <v>110625</v>
      </c>
      <c r="D29" s="41">
        <f>B29*$C$37</f>
        <v>-16379.132814989372</v>
      </c>
      <c r="E29" s="41">
        <f t="shared" si="0"/>
        <v>94245.867185010633</v>
      </c>
    </row>
    <row r="30" spans="2:5" ht="14.4">
      <c r="B30" s="36">
        <f>C30/$C$34</f>
        <v>5.7071358218980309E-2</v>
      </c>
      <c r="C30" s="42">
        <f>(1475000*0.15)/2</f>
        <v>110625</v>
      </c>
      <c r="D30" s="41">
        <f>B30*$C$37</f>
        <v>-16379.132814989372</v>
      </c>
      <c r="E30" s="41">
        <f t="shared" si="0"/>
        <v>94245.867185010633</v>
      </c>
    </row>
    <row r="31" spans="2:5" ht="14.4">
      <c r="B31" s="36">
        <f>C31/$C$34</f>
        <v>0.11952427854013131</v>
      </c>
      <c r="C31" s="42">
        <f>400000/2+63362.8399999999/2</f>
        <v>231681.41999999995</v>
      </c>
      <c r="D31" s="41">
        <f>B31*$C$37</f>
        <v>-34302.741233404151</v>
      </c>
      <c r="E31" s="41">
        <f t="shared" si="0"/>
        <v>197378.67876659581</v>
      </c>
    </row>
    <row r="32" spans="2:5">
      <c r="E32" s="41">
        <f t="shared" si="0"/>
        <v>0</v>
      </c>
    </row>
    <row r="33" spans="2:5" ht="14.4">
      <c r="B33" s="36">
        <f>C33/$C$34</f>
        <v>0.11952427854013131</v>
      </c>
      <c r="C33" s="42">
        <f>400000/2+63362.8399999999/2</f>
        <v>231681.41999999995</v>
      </c>
      <c r="D33" s="41">
        <f>B33*$C$37</f>
        <v>-34302.741233404151</v>
      </c>
      <c r="E33" s="41">
        <f t="shared" si="0"/>
        <v>197378.67876659581</v>
      </c>
    </row>
    <row r="34" spans="2:5">
      <c r="C34" s="41">
        <v>1938362.8399999999</v>
      </c>
      <c r="E34" s="41">
        <f>SUM(E27:E33)</f>
        <v>1651368.9200000002</v>
      </c>
    </row>
    <row r="37" spans="2:5" ht="14.4">
      <c r="C37" s="42">
        <v>-286993.91999999993</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032C9-7DB0-4280-BA3A-A1B9FD8ECC82}">
  <sheetPr codeName="Sheet14"/>
  <dimension ref="A1:T54"/>
  <sheetViews>
    <sheetView workbookViewId="0"/>
  </sheetViews>
  <sheetFormatPr defaultColWidth="9.109375" defaultRowHeight="14.4"/>
  <cols>
    <col min="1" max="1" width="23.33203125" customWidth="1"/>
    <col min="2" max="2" width="42.88671875" bestFit="1" customWidth="1"/>
    <col min="3" max="3" width="16.44140625" bestFit="1" customWidth="1"/>
    <col min="4" max="4" width="40.33203125" customWidth="1"/>
    <col min="5" max="5" width="39.109375" customWidth="1"/>
    <col min="6" max="6" width="14.88671875" style="10" customWidth="1"/>
    <col min="7" max="7" width="38.6640625" hidden="1" customWidth="1"/>
    <col min="8" max="8" width="16.33203125" hidden="1" customWidth="1"/>
    <col min="9" max="9" width="14.5546875" hidden="1" customWidth="1"/>
    <col min="10" max="10" width="62.33203125" hidden="1" customWidth="1"/>
    <col min="11" max="11" width="28.88671875" customWidth="1"/>
    <col min="12" max="13" width="11.88671875" customWidth="1"/>
    <col min="14" max="16" width="17" customWidth="1"/>
    <col min="17" max="17" width="19.33203125" hidden="1" customWidth="1"/>
    <col min="18" max="18" width="17.88671875" hidden="1" customWidth="1"/>
    <col min="19" max="19" width="79.33203125" hidden="1" customWidth="1"/>
    <col min="20" max="20" width="20" hidden="1" customWidth="1"/>
    <col min="35" max="35" width="23.109375" bestFit="1" customWidth="1"/>
    <col min="36" max="36" width="20.6640625" bestFit="1" customWidth="1"/>
    <col min="37" max="37" width="20.109375" bestFit="1" customWidth="1"/>
    <col min="38" max="38" width="79.33203125" bestFit="1" customWidth="1"/>
  </cols>
  <sheetData>
    <row r="1" spans="1:20">
      <c r="A1" t="s">
        <v>1</v>
      </c>
      <c r="B1" t="s">
        <v>361</v>
      </c>
      <c r="C1" t="s">
        <v>3</v>
      </c>
      <c r="D1" t="s">
        <v>5</v>
      </c>
      <c r="E1" t="s">
        <v>6</v>
      </c>
      <c r="F1" s="10" t="s">
        <v>8</v>
      </c>
      <c r="G1" t="s">
        <v>9</v>
      </c>
      <c r="H1" t="s">
        <v>362</v>
      </c>
      <c r="I1" t="s">
        <v>363</v>
      </c>
      <c r="J1" t="s">
        <v>364</v>
      </c>
      <c r="K1" s="3" t="s">
        <v>440</v>
      </c>
      <c r="L1" t="s">
        <v>441</v>
      </c>
      <c r="M1" t="s">
        <v>14</v>
      </c>
      <c r="N1" t="s">
        <v>15</v>
      </c>
      <c r="O1" t="s">
        <v>37</v>
      </c>
      <c r="P1" s="24" t="s">
        <v>442</v>
      </c>
      <c r="Q1" s="3" t="s">
        <v>365</v>
      </c>
      <c r="R1" s="11" t="s">
        <v>366</v>
      </c>
      <c r="S1" s="3" t="s">
        <v>367</v>
      </c>
      <c r="T1" t="s">
        <v>443</v>
      </c>
    </row>
    <row r="2" spans="1:20" ht="15" customHeight="1">
      <c r="A2" t="s">
        <v>38</v>
      </c>
      <c r="B2" t="s">
        <v>368</v>
      </c>
      <c r="C2" t="s">
        <v>39</v>
      </c>
      <c r="D2" t="s">
        <v>41</v>
      </c>
      <c r="E2" t="s">
        <v>42</v>
      </c>
      <c r="F2" s="10" t="s">
        <v>38</v>
      </c>
      <c r="G2" t="s">
        <v>43</v>
      </c>
      <c r="H2" t="s">
        <v>369</v>
      </c>
      <c r="K2" s="12"/>
      <c r="L2" t="e">
        <f>_xlfn.IFNA(VLOOKUP(Table47[[#This Row],[Resource group]],#REF!,2,FALSE),"0")</f>
        <v>#REF!</v>
      </c>
      <c r="M2" s="1" t="e">
        <f>_xlfn.IFNA(VLOOKUP(Table47[[#This Row],[Resource group]],#REF!,4,FALSE),"0")</f>
        <v>#REF!</v>
      </c>
      <c r="N2" s="1" t="e">
        <f>Table47[[#This Row],[FTE (%) 2026]]*Table47[[#This Row],[Hrs 2026]]*Table47[[#This Row],[Rate 2026]]</f>
        <v>#REF!</v>
      </c>
      <c r="O2" s="1" t="e">
        <f>Table47[[#This Row],[FTE (%) 2026]]*Table47[[#This Row],[Hrs 2026]]</f>
        <v>#REF!</v>
      </c>
      <c r="P2" s="1">
        <f>Table47[[#This Row],[Prognosis BP26]]</f>
        <v>0</v>
      </c>
      <c r="Q2" s="1"/>
      <c r="R2" s="1" t="e">
        <f>VLOOKUP(Table47[[#This Row],[Task name]],#REF!,5,FALSE)</f>
        <v>#REF!</v>
      </c>
      <c r="T2" s="1" t="e">
        <f>Table47[[#This Row],[Prognosis BP26]]-Table47[[#This Row],[Personnel costs ]]</f>
        <v>#REF!</v>
      </c>
    </row>
    <row r="3" spans="1:20" ht="15" customHeight="1">
      <c r="A3" t="s">
        <v>38</v>
      </c>
      <c r="B3" t="s">
        <v>370</v>
      </c>
      <c r="C3" t="s">
        <v>49</v>
      </c>
      <c r="D3" t="s">
        <v>50</v>
      </c>
      <c r="E3" t="s">
        <v>42</v>
      </c>
      <c r="F3" s="10" t="s">
        <v>38</v>
      </c>
      <c r="G3" t="s">
        <v>43</v>
      </c>
      <c r="H3" t="s">
        <v>369</v>
      </c>
      <c r="K3" s="12"/>
      <c r="L3" t="e">
        <f>_xlfn.IFNA(VLOOKUP(Table47[[#This Row],[Resource group]],#REF!,2,FALSE),"0")</f>
        <v>#REF!</v>
      </c>
      <c r="M3" s="1" t="e">
        <f>_xlfn.IFNA(VLOOKUP(Table47[[#This Row],[Resource group]],#REF!,4,FALSE),"0")</f>
        <v>#REF!</v>
      </c>
      <c r="N3" s="1" t="e">
        <f>Table47[[#This Row],[FTE (%) 2026]]*Table47[[#This Row],[Hrs 2026]]*Table47[[#This Row],[Rate 2026]]</f>
        <v>#REF!</v>
      </c>
      <c r="O3" s="1" t="e">
        <f>Table47[[#This Row],[FTE (%) 2026]]*Table47[[#This Row],[Hrs 2026]]</f>
        <v>#REF!</v>
      </c>
      <c r="P3" s="1">
        <f>Table47[[#This Row],[Prognosis BP26]]</f>
        <v>0</v>
      </c>
      <c r="Q3" s="1"/>
      <c r="R3" s="1" t="e">
        <f>VLOOKUP(Table47[[#This Row],[Task name]],#REF!,5,FALSE)</f>
        <v>#REF!</v>
      </c>
      <c r="T3" s="1" t="e">
        <f>Table47[[#This Row],[Prognosis BP26]]-Table47[[#This Row],[Personnel costs ]]</f>
        <v>#REF!</v>
      </c>
    </row>
    <row r="4" spans="1:20" s="6" customFormat="1" ht="15" customHeight="1">
      <c r="A4" s="6" t="s">
        <v>51</v>
      </c>
      <c r="B4" s="6" t="s">
        <v>371</v>
      </c>
      <c r="C4" s="6" t="s">
        <v>45</v>
      </c>
      <c r="D4" s="6" t="s">
        <v>52</v>
      </c>
      <c r="E4" s="6" t="s">
        <v>47</v>
      </c>
      <c r="F4" s="19" t="s">
        <v>54</v>
      </c>
      <c r="G4" t="s">
        <v>55</v>
      </c>
      <c r="H4" t="s">
        <v>372</v>
      </c>
      <c r="I4" t="s">
        <v>373</v>
      </c>
      <c r="J4"/>
      <c r="K4" s="20"/>
      <c r="L4" s="6" t="e">
        <f>_xlfn.IFNA(VLOOKUP(Table47[[#This Row],[Resource group]],#REF!,2,FALSE),"0")</f>
        <v>#REF!</v>
      </c>
      <c r="M4" s="8" t="e">
        <f>_xlfn.IFNA(VLOOKUP(Table47[[#This Row],[Resource group]],#REF!,4,FALSE),"0")</f>
        <v>#REF!</v>
      </c>
      <c r="N4" s="8" t="e">
        <f>Table47[[#This Row],[FTE (%) 2026]]*Table47[[#This Row],[Hrs 2026]]*Table47[[#This Row],[Rate 2026]]</f>
        <v>#REF!</v>
      </c>
      <c r="O4" s="8" t="e">
        <f>Table47[[#This Row],[FTE (%) 2026]]*Table47[[#This Row],[Hrs 2026]]</f>
        <v>#REF!</v>
      </c>
      <c r="P4" s="8">
        <f>Table47[[#This Row],[Prognosis BP26]]</f>
        <v>800000</v>
      </c>
      <c r="Q4" s="7">
        <f>80000*10</f>
        <v>800000</v>
      </c>
      <c r="R4" s="1"/>
      <c r="S4"/>
      <c r="T4" s="1" t="e">
        <f>Table47[[#This Row],[Prognosis BP26]]-Table47[[#This Row],[Personnel costs ]]</f>
        <v>#REF!</v>
      </c>
    </row>
    <row r="5" spans="1:20" s="6" customFormat="1" ht="15" customHeight="1">
      <c r="A5" s="6" t="s">
        <v>56</v>
      </c>
      <c r="B5" s="6" t="s">
        <v>371</v>
      </c>
      <c r="C5" s="6" t="s">
        <v>45</v>
      </c>
      <c r="D5" s="6" t="s">
        <v>58</v>
      </c>
      <c r="E5" s="6" t="s">
        <v>47</v>
      </c>
      <c r="F5" s="19" t="s">
        <v>54</v>
      </c>
      <c r="G5" t="s">
        <v>60</v>
      </c>
      <c r="H5" t="s">
        <v>374</v>
      </c>
      <c r="I5" t="s">
        <v>375</v>
      </c>
      <c r="J5" s="5" t="s">
        <v>376</v>
      </c>
      <c r="K5" s="13">
        <v>1</v>
      </c>
      <c r="L5" s="6" t="e">
        <f>_xlfn.IFNA(VLOOKUP(Table47[[#This Row],[Resource group]],#REF!,2,FALSE),"0")</f>
        <v>#REF!</v>
      </c>
      <c r="M5" s="8" t="e">
        <f>_xlfn.IFNA(VLOOKUP(Table47[[#This Row],[Resource group]],#REF!,4,FALSE),"0")</f>
        <v>#REF!</v>
      </c>
      <c r="N5" s="8" t="e">
        <f>Table47[[#This Row],[FTE (%) 2026]]*Table47[[#This Row],[Hrs 2026]]*Table47[[#This Row],[Rate 2026]]</f>
        <v>#REF!</v>
      </c>
      <c r="O5" s="8" t="e">
        <f>Table47[[#This Row],[FTE (%) 2026]]*Table47[[#This Row],[Hrs 2026]]</f>
        <v>#REF!</v>
      </c>
      <c r="P5" s="8">
        <f>Table47[[#This Row],[Prognosis BP26]]</f>
        <v>270000</v>
      </c>
      <c r="Q5" s="1">
        <v>270000</v>
      </c>
      <c r="R5" s="1" t="e">
        <f>VLOOKUP(Table47[[#This Row],[Task name]],#REF!,5,FALSE)</f>
        <v>#REF!</v>
      </c>
      <c r="S5"/>
      <c r="T5" s="1" t="e">
        <f>Table47[[#This Row],[Prognosis BP26]]-Table47[[#This Row],[Personnel costs ]]</f>
        <v>#REF!</v>
      </c>
    </row>
    <row r="6" spans="1:20" s="6" customFormat="1" ht="15" customHeight="1">
      <c r="A6" s="6" t="s">
        <v>56</v>
      </c>
      <c r="B6" s="6" t="s">
        <v>371</v>
      </c>
      <c r="C6" s="6" t="s">
        <v>45</v>
      </c>
      <c r="D6" s="6" t="s">
        <v>64</v>
      </c>
      <c r="E6" s="6" t="s">
        <v>72</v>
      </c>
      <c r="F6" s="19" t="s">
        <v>67</v>
      </c>
      <c r="G6" t="s">
        <v>444</v>
      </c>
      <c r="H6" t="s">
        <v>374</v>
      </c>
      <c r="I6" t="s">
        <v>373</v>
      </c>
      <c r="J6" t="s">
        <v>377</v>
      </c>
      <c r="K6" s="13">
        <v>1</v>
      </c>
      <c r="L6" s="6" t="e">
        <f>_xlfn.IFNA(VLOOKUP(Table47[[#This Row],[Resource group]],#REF!,2,FALSE),"0")</f>
        <v>#REF!</v>
      </c>
      <c r="M6" s="8" t="e">
        <f>_xlfn.IFNA(VLOOKUP(Table47[[#This Row],[Resource group]],#REF!,4,FALSE),"0")</f>
        <v>#REF!</v>
      </c>
      <c r="N6" s="8" t="e">
        <f>Table47[[#This Row],[FTE (%) 2026]]*Table47[[#This Row],[Hrs 2026]]*Table47[[#This Row],[Rate 2026]]</f>
        <v>#REF!</v>
      </c>
      <c r="O6" s="8" t="e">
        <f>Table47[[#This Row],[FTE (%) 2026]]*Table47[[#This Row],[Hrs 2026]]</f>
        <v>#REF!</v>
      </c>
      <c r="P6" s="8" t="e">
        <f>Table47[[#This Row],[Personnel costs ]]</f>
        <v>#REF!</v>
      </c>
      <c r="Q6" s="7">
        <v>150000</v>
      </c>
      <c r="R6" s="1"/>
      <c r="S6"/>
      <c r="T6" s="1" t="e">
        <f>Table47[[#This Row],[Prognosis BP26]]-Table47[[#This Row],[Personnel costs ]]</f>
        <v>#REF!</v>
      </c>
    </row>
    <row r="7" spans="1:20" s="6" customFormat="1" ht="15" customHeight="1">
      <c r="A7" s="6" t="s">
        <v>56</v>
      </c>
      <c r="B7" s="6" t="s">
        <v>371</v>
      </c>
      <c r="C7" s="6" t="s">
        <v>45</v>
      </c>
      <c r="D7" s="6" t="s">
        <v>64</v>
      </c>
      <c r="E7" s="6" t="s">
        <v>72</v>
      </c>
      <c r="F7" s="19" t="s">
        <v>67</v>
      </c>
      <c r="G7" t="s">
        <v>74</v>
      </c>
      <c r="H7" t="s">
        <v>374</v>
      </c>
      <c r="I7" t="s">
        <v>375</v>
      </c>
      <c r="J7" t="s">
        <v>378</v>
      </c>
      <c r="K7" s="13">
        <v>1</v>
      </c>
      <c r="L7" s="6" t="e">
        <f>_xlfn.IFNA(VLOOKUP(Table47[[#This Row],[Resource group]],#REF!,2,FALSE),"0")</f>
        <v>#REF!</v>
      </c>
      <c r="M7" s="8" t="e">
        <f>_xlfn.IFNA(VLOOKUP(Table47[[#This Row],[Resource group]],#REF!,4,FALSE),"0")</f>
        <v>#REF!</v>
      </c>
      <c r="N7" s="8" t="e">
        <f>Table47[[#This Row],[FTE (%) 2026]]*Table47[[#This Row],[Hrs 2026]]*Table47[[#This Row],[Rate 2026]]</f>
        <v>#REF!</v>
      </c>
      <c r="O7" s="8" t="e">
        <f>Table47[[#This Row],[FTE (%) 2026]]*Table47[[#This Row],[Hrs 2026]]</f>
        <v>#REF!</v>
      </c>
      <c r="P7" s="8" t="e">
        <f>Table47[[#This Row],[Personnel costs ]]</f>
        <v>#REF!</v>
      </c>
      <c r="Q7" s="1">
        <v>54000</v>
      </c>
      <c r="R7" s="1" t="e">
        <f>VLOOKUP(Table47[[#This Row],[Task name]],#REF!,5,FALSE)</f>
        <v>#REF!</v>
      </c>
      <c r="S7"/>
      <c r="T7" s="1" t="e">
        <f>Table47[[#This Row],[Prognosis BP26]]-Table47[[#This Row],[Personnel costs ]]</f>
        <v>#REF!</v>
      </c>
    </row>
    <row r="8" spans="1:20" s="6" customFormat="1" ht="15" customHeight="1">
      <c r="A8" s="6" t="s">
        <v>76</v>
      </c>
      <c r="B8" s="6" t="s">
        <v>371</v>
      </c>
      <c r="C8" s="6" t="s">
        <v>45</v>
      </c>
      <c r="D8" s="6" t="s">
        <v>77</v>
      </c>
      <c r="E8" s="6" t="s">
        <v>47</v>
      </c>
      <c r="F8" s="19" t="s">
        <v>54</v>
      </c>
      <c r="G8" t="s">
        <v>43</v>
      </c>
      <c r="H8" t="s">
        <v>374</v>
      </c>
      <c r="I8" t="s">
        <v>373</v>
      </c>
      <c r="J8" t="s">
        <v>379</v>
      </c>
      <c r="K8" s="13" t="s">
        <v>78</v>
      </c>
      <c r="L8" s="6" t="e">
        <f>_xlfn.IFNA(VLOOKUP(Table47[[#This Row],[Resource group]],#REF!,2,FALSE),"0")</f>
        <v>#REF!</v>
      </c>
      <c r="M8" s="8" t="e">
        <f>_xlfn.IFNA(VLOOKUP(Table47[[#This Row],[Resource group]],#REF!,4,FALSE),"0")</f>
        <v>#REF!</v>
      </c>
      <c r="N8" s="8"/>
      <c r="O8" s="8" t="e">
        <f>Table47[[#This Row],[FTE (%) 2026]]*Table47[[#This Row],[Hrs 2026]]</f>
        <v>#VALUE!</v>
      </c>
      <c r="P8" s="8">
        <f>Table47[[#This Row],[Prognosis BP26]]</f>
        <v>150000</v>
      </c>
      <c r="Q8" s="1">
        <v>150000</v>
      </c>
      <c r="R8" s="1" t="e">
        <f>VLOOKUP(Table47[[#This Row],[Task name]],#REF!,5,FALSE)</f>
        <v>#REF!</v>
      </c>
      <c r="S8"/>
      <c r="T8" s="1">
        <f>Table47[[#This Row],[Prognosis BP26]]-Table47[[#This Row],[Personnel costs ]]</f>
        <v>150000</v>
      </c>
    </row>
    <row r="9" spans="1:20" s="6" customFormat="1" ht="15" customHeight="1">
      <c r="A9" s="6" t="s">
        <v>79</v>
      </c>
      <c r="B9" s="6" t="s">
        <v>371</v>
      </c>
      <c r="C9" s="6" t="s">
        <v>45</v>
      </c>
      <c r="D9" s="6" t="s">
        <v>80</v>
      </c>
      <c r="E9" s="6" t="s">
        <v>47</v>
      </c>
      <c r="F9" s="19" t="s">
        <v>54</v>
      </c>
      <c r="G9" t="s">
        <v>43</v>
      </c>
      <c r="H9" t="s">
        <v>380</v>
      </c>
      <c r="I9" t="s">
        <v>375</v>
      </c>
      <c r="J9" t="s">
        <v>381</v>
      </c>
      <c r="K9" s="13" t="s">
        <v>78</v>
      </c>
      <c r="L9" s="6" t="e">
        <f>_xlfn.IFNA(VLOOKUP(Table47[[#This Row],[Resource group]],#REF!,2,FALSE),"0")</f>
        <v>#REF!</v>
      </c>
      <c r="M9" s="8" t="e">
        <f>_xlfn.IFNA(VLOOKUP(Table47[[#This Row],[Resource group]],#REF!,4,FALSE),"0")</f>
        <v>#REF!</v>
      </c>
      <c r="N9" s="8"/>
      <c r="O9" s="8" t="e">
        <f>Table47[[#This Row],[FTE (%) 2026]]*Table47[[#This Row],[Hrs 2026]]</f>
        <v>#VALUE!</v>
      </c>
      <c r="P9" s="8">
        <f>Table47[[#This Row],[Prognosis BP26]]</f>
        <v>67000</v>
      </c>
      <c r="Q9" s="1">
        <v>67000</v>
      </c>
      <c r="R9" s="1" t="e">
        <f>VLOOKUP(Table47[[#This Row],[Task name]],#REF!,5,FALSE)</f>
        <v>#REF!</v>
      </c>
      <c r="S9"/>
      <c r="T9" s="1">
        <f>Table47[[#This Row],[Prognosis BP26]]-Table47[[#This Row],[Personnel costs ]]</f>
        <v>67000</v>
      </c>
    </row>
    <row r="10" spans="1:20" s="6" customFormat="1" ht="15" customHeight="1">
      <c r="A10" s="6" t="s">
        <v>82</v>
      </c>
      <c r="B10" s="6" t="s">
        <v>371</v>
      </c>
      <c r="C10" s="6" t="s">
        <v>45</v>
      </c>
      <c r="D10" s="6" t="s">
        <v>84</v>
      </c>
      <c r="E10" s="6" t="s">
        <v>445</v>
      </c>
      <c r="F10" s="19" t="s">
        <v>67</v>
      </c>
      <c r="G10"/>
      <c r="H10" t="s">
        <v>382</v>
      </c>
      <c r="I10" t="s">
        <v>383</v>
      </c>
      <c r="J10" t="s">
        <v>384</v>
      </c>
      <c r="K10" s="20" t="s">
        <v>446</v>
      </c>
      <c r="L10" s="6" t="e">
        <f>_xlfn.IFNA(VLOOKUP(Table47[[#This Row],[Resource group]],#REF!,2,FALSE),"0")</f>
        <v>#REF!</v>
      </c>
      <c r="M10" s="8" t="e">
        <f>_xlfn.IFNA(VLOOKUP(Table47[[#This Row],[Resource group]],#REF!,4,FALSE),"0")</f>
        <v>#REF!</v>
      </c>
      <c r="N10" s="8" t="e">
        <f>Table47[[#This Row],[FTE (%) 2026]]*Table47[[#This Row],[Hrs 2026]]*Table47[[#This Row],[Rate 2026]]</f>
        <v>#VALUE!</v>
      </c>
      <c r="O10" s="8" t="e">
        <f>Table47[[#This Row],[FTE (%) 2026]]*Table47[[#This Row],[Hrs 2026]]</f>
        <v>#VALUE!</v>
      </c>
      <c r="P10" s="8">
        <f>Q10</f>
        <v>790000</v>
      </c>
      <c r="Q10" s="7">
        <v>790000</v>
      </c>
      <c r="R10" s="1"/>
      <c r="S10"/>
      <c r="T10" s="1" t="e">
        <f>Table47[[#This Row],[Prognosis BP26]]-Table47[[#This Row],[Personnel costs ]]</f>
        <v>#VALUE!</v>
      </c>
    </row>
    <row r="11" spans="1:20" s="6" customFormat="1" ht="15" customHeight="1">
      <c r="A11" s="6" t="s">
        <v>56</v>
      </c>
      <c r="B11" s="6" t="s">
        <v>371</v>
      </c>
      <c r="C11" s="6" t="s">
        <v>45</v>
      </c>
      <c r="D11" s="6" t="s">
        <v>88</v>
      </c>
      <c r="E11" s="6" t="s">
        <v>47</v>
      </c>
      <c r="F11" s="19" t="s">
        <v>54</v>
      </c>
      <c r="G11" t="s">
        <v>43</v>
      </c>
      <c r="H11" t="s">
        <v>385</v>
      </c>
      <c r="I11" t="s">
        <v>375</v>
      </c>
      <c r="J11" t="s">
        <v>386</v>
      </c>
      <c r="K11" s="13" t="s">
        <v>90</v>
      </c>
      <c r="L11" s="6" t="e">
        <f>_xlfn.IFNA(VLOOKUP(Table47[[#This Row],[Resource group]],#REF!,2,FALSE),"0")</f>
        <v>#REF!</v>
      </c>
      <c r="M11" s="8" t="e">
        <f>_xlfn.IFNA(VLOOKUP(Table47[[#This Row],[Resource group]],#REF!,4,FALSE),"0")</f>
        <v>#REF!</v>
      </c>
      <c r="N11" s="8" t="e">
        <f>Table47[[#This Row],[FTE (%) 2026]]*Table47[[#This Row],[Hrs 2026]]*Table47[[#This Row],[Rate 2026]]</f>
        <v>#VALUE!</v>
      </c>
      <c r="O11" s="8" t="e">
        <f>Table47[[#This Row],[FTE (%) 2026]]*Table47[[#This Row],[Hrs 2026]]</f>
        <v>#VALUE!</v>
      </c>
      <c r="P11" s="8">
        <f>Table47[[#This Row],[Prognosis BP26]]</f>
        <v>400000</v>
      </c>
      <c r="Q11" s="8">
        <v>400000</v>
      </c>
      <c r="R11" s="1" t="e">
        <f>VLOOKUP(Table47[[#This Row],[Task name]],#REF!,5,FALSE)</f>
        <v>#REF!</v>
      </c>
      <c r="S11"/>
      <c r="T11" s="1" t="e">
        <f>Table47[[#This Row],[Prognosis BP26]]-Table47[[#This Row],[Personnel costs ]]</f>
        <v>#VALUE!</v>
      </c>
    </row>
    <row r="12" spans="1:20" s="6" customFormat="1" ht="15" customHeight="1">
      <c r="A12" s="6" t="s">
        <v>76</v>
      </c>
      <c r="B12" s="6" t="s">
        <v>371</v>
      </c>
      <c r="C12" s="6" t="s">
        <v>45</v>
      </c>
      <c r="D12" s="6" t="s">
        <v>93</v>
      </c>
      <c r="E12" s="6" t="s">
        <v>94</v>
      </c>
      <c r="F12" s="19" t="s">
        <v>67</v>
      </c>
      <c r="G12" t="s">
        <v>354</v>
      </c>
      <c r="H12" t="s">
        <v>385</v>
      </c>
      <c r="I12" t="s">
        <v>375</v>
      </c>
      <c r="J12" t="s">
        <v>387</v>
      </c>
      <c r="K12" s="13">
        <v>1</v>
      </c>
      <c r="L12" s="6" t="e">
        <f>_xlfn.IFNA(VLOOKUP(Table47[[#This Row],[Resource group]],#REF!,2,FALSE),"0")</f>
        <v>#REF!</v>
      </c>
      <c r="M12" s="32">
        <v>172.8</v>
      </c>
      <c r="N12" s="8" t="e">
        <f>Table47[[#This Row],[FTE (%) 2026]]*Table47[[#This Row],[Hrs 2026]]*Table47[[#This Row],[Rate 2026]]</f>
        <v>#REF!</v>
      </c>
      <c r="O12" s="8" t="e">
        <f>Table47[[#This Row],[FTE (%) 2026]]*Table47[[#This Row],[Hrs 2026]]</f>
        <v>#REF!</v>
      </c>
      <c r="P12" s="8" t="e">
        <f>Table47[[#This Row],[Personnel costs ]]</f>
        <v>#REF!</v>
      </c>
      <c r="Q12" s="7">
        <v>160000</v>
      </c>
      <c r="R12" s="1"/>
      <c r="S12"/>
      <c r="T12" s="1" t="e">
        <f>Table47[[#This Row],[Prognosis BP26]]-Table47[[#This Row],[Personnel costs ]]</f>
        <v>#REF!</v>
      </c>
    </row>
    <row r="13" spans="1:20" ht="15" customHeight="1">
      <c r="A13" t="s">
        <v>96</v>
      </c>
      <c r="B13" t="s">
        <v>368</v>
      </c>
      <c r="C13" t="s">
        <v>39</v>
      </c>
      <c r="D13" t="s">
        <v>97</v>
      </c>
      <c r="E13" t="s">
        <v>116</v>
      </c>
      <c r="F13" s="10" t="s">
        <v>67</v>
      </c>
      <c r="G13" t="s">
        <v>447</v>
      </c>
      <c r="H13" t="s">
        <v>385</v>
      </c>
      <c r="I13" t="s">
        <v>375</v>
      </c>
      <c r="J13" t="s">
        <v>388</v>
      </c>
      <c r="K13" s="14">
        <v>1</v>
      </c>
      <c r="L13" t="e">
        <f>_xlfn.IFNA(VLOOKUP(Table47[[#This Row],[Resource group]],#REF!,2,FALSE),"0")</f>
        <v>#REF!</v>
      </c>
      <c r="M13" s="31">
        <v>148.50000000000003</v>
      </c>
      <c r="N13" s="1" t="e">
        <f>Table47[[#This Row],[FTE (%) 2026]]*Table47[[#This Row],[Hrs 2026]]*Table47[[#This Row],[Rate 2026]]</f>
        <v>#REF!</v>
      </c>
      <c r="O13" s="1" t="e">
        <f>Table47[[#This Row],[FTE (%) 2026]]*Table47[[#This Row],[Hrs 2026]]</f>
        <v>#REF!</v>
      </c>
      <c r="P13" s="1" t="e">
        <f>Table47[[#This Row],[Personnel costs ]]</f>
        <v>#REF!</v>
      </c>
      <c r="Q13" s="7">
        <v>178000</v>
      </c>
      <c r="R13" s="1" t="e">
        <f>VLOOKUP(Table47[[#This Row],[Task name]],#REF!,5,FALSE)</f>
        <v>#REF!</v>
      </c>
      <c r="T13" s="1" t="e">
        <f>Table47[[#This Row],[Prognosis BP26]]-Table47[[#This Row],[Personnel costs ]]</f>
        <v>#REF!</v>
      </c>
    </row>
    <row r="14" spans="1:20" s="6" customFormat="1" ht="15" customHeight="1">
      <c r="A14" s="6" t="s">
        <v>96</v>
      </c>
      <c r="B14" s="6" t="s">
        <v>371</v>
      </c>
      <c r="C14" s="6" t="s">
        <v>45</v>
      </c>
      <c r="D14" s="6" t="s">
        <v>101</v>
      </c>
      <c r="E14" s="6" t="s">
        <v>102</v>
      </c>
      <c r="F14" s="19" t="s">
        <v>67</v>
      </c>
      <c r="G14" t="s">
        <v>103</v>
      </c>
      <c r="H14" t="s">
        <v>385</v>
      </c>
      <c r="I14" t="s">
        <v>373</v>
      </c>
      <c r="J14" t="s">
        <v>389</v>
      </c>
      <c r="K14" s="13">
        <v>1</v>
      </c>
      <c r="L14" s="6">
        <v>1550</v>
      </c>
      <c r="M14" s="22">
        <v>148.50000000000003</v>
      </c>
      <c r="N14" s="8">
        <f>Table47[[#This Row],[FTE (%) 2026]]*Table47[[#This Row],[Hrs 2026]]*Table47[[#This Row],[Rate 2026]]</f>
        <v>230175.00000000006</v>
      </c>
      <c r="O14" s="8">
        <f>Table47[[#This Row],[FTE (%) 2026]]*Table47[[#This Row],[Hrs 2026]]</f>
        <v>1550</v>
      </c>
      <c r="P14" s="8">
        <f>Table47[[#This Row],[Personnel costs ]]</f>
        <v>230175.00000000006</v>
      </c>
      <c r="Q14" s="7">
        <f>54000</f>
        <v>54000</v>
      </c>
      <c r="R14" s="1" t="e">
        <f>VLOOKUP(Table47[[#This Row],[Task name]],#REF!,5,FALSE)</f>
        <v>#REF!</v>
      </c>
      <c r="S14"/>
      <c r="T14" s="1">
        <f>Table47[[#This Row],[Prognosis BP26]]-Table47[[#This Row],[Personnel costs ]]</f>
        <v>-176175.00000000006</v>
      </c>
    </row>
    <row r="15" spans="1:20" s="6" customFormat="1" ht="15" customHeight="1">
      <c r="A15" s="6" t="s">
        <v>105</v>
      </c>
      <c r="B15" s="6" t="s">
        <v>371</v>
      </c>
      <c r="C15" s="6" t="s">
        <v>45</v>
      </c>
      <c r="D15" s="6" t="s">
        <v>107</v>
      </c>
      <c r="E15" s="6" t="s">
        <v>47</v>
      </c>
      <c r="F15" s="19" t="s">
        <v>109</v>
      </c>
      <c r="G15"/>
      <c r="H15" t="s">
        <v>385</v>
      </c>
      <c r="I15" t="s">
        <v>373</v>
      </c>
      <c r="J15"/>
      <c r="K15" s="13" t="s">
        <v>110</v>
      </c>
      <c r="L15" s="6" t="e">
        <f>_xlfn.IFNA(VLOOKUP(Table47[[#This Row],[Resource group]],#REF!,2,FALSE),"0")</f>
        <v>#REF!</v>
      </c>
      <c r="M15" s="8">
        <v>148.50000000000003</v>
      </c>
      <c r="N15" s="8" t="e">
        <f>Table47[[#This Row],[FTE (%) 2026]]*Table47[[#This Row],[Hrs 2026]]*Table47[[#This Row],[Rate 2026]]</f>
        <v>#VALUE!</v>
      </c>
      <c r="O15" s="8" t="e">
        <f>Table47[[#This Row],[FTE (%) 2026]]*Table47[[#This Row],[Hrs 2026]]</f>
        <v>#VALUE!</v>
      </c>
      <c r="P15" s="8">
        <f>Table47[[#This Row],[Prognosis BP26]]</f>
        <v>150000</v>
      </c>
      <c r="Q15" s="7">
        <v>150000</v>
      </c>
      <c r="R15" s="1"/>
      <c r="S15"/>
      <c r="T15" s="1" t="e">
        <f>Table47[[#This Row],[Prognosis BP26]]-Table47[[#This Row],[Personnel costs ]]</f>
        <v>#VALUE!</v>
      </c>
    </row>
    <row r="16" spans="1:20" s="6" customFormat="1" ht="15" customHeight="1">
      <c r="A16" s="6" t="s">
        <v>111</v>
      </c>
      <c r="B16" s="6" t="s">
        <v>371</v>
      </c>
      <c r="C16" s="6" t="s">
        <v>45</v>
      </c>
      <c r="D16" s="6" t="s">
        <v>113</v>
      </c>
      <c r="E16" s="6" t="s">
        <v>47</v>
      </c>
      <c r="F16" s="19" t="s">
        <v>109</v>
      </c>
      <c r="G16"/>
      <c r="H16" t="s">
        <v>385</v>
      </c>
      <c r="I16" t="s">
        <v>373</v>
      </c>
      <c r="J16"/>
      <c r="K16" s="13" t="s">
        <v>110</v>
      </c>
      <c r="L16" s="6" t="e">
        <f>_xlfn.IFNA(VLOOKUP(Table47[[#This Row],[Resource group]],#REF!,2,FALSE),"0")</f>
        <v>#REF!</v>
      </c>
      <c r="M16" s="8">
        <v>148.50000000000003</v>
      </c>
      <c r="N16" s="8" t="e">
        <f>Table47[[#This Row],[FTE (%) 2026]]*Table47[[#This Row],[Hrs 2026]]*Table47[[#This Row],[Rate 2026]]</f>
        <v>#VALUE!</v>
      </c>
      <c r="O16" s="8" t="e">
        <f>Table47[[#This Row],[FTE (%) 2026]]*Table47[[#This Row],[Hrs 2026]]</f>
        <v>#VALUE!</v>
      </c>
      <c r="P16" s="8">
        <f>Table47[[#This Row],[Prognosis BP26]]</f>
        <v>150000</v>
      </c>
      <c r="Q16" s="7">
        <v>150000</v>
      </c>
      <c r="R16" s="1"/>
      <c r="S16"/>
      <c r="T16" s="1" t="e">
        <f>Table47[[#This Row],[Prognosis BP26]]-Table47[[#This Row],[Personnel costs ]]</f>
        <v>#VALUE!</v>
      </c>
    </row>
    <row r="17" spans="1:20" ht="15" customHeight="1">
      <c r="A17" t="s">
        <v>96</v>
      </c>
      <c r="B17" t="s">
        <v>368</v>
      </c>
      <c r="C17" t="s">
        <v>39</v>
      </c>
      <c r="D17" t="s">
        <v>115</v>
      </c>
      <c r="E17" t="s">
        <v>116</v>
      </c>
      <c r="F17" s="10" t="s">
        <v>67</v>
      </c>
      <c r="G17" t="s">
        <v>117</v>
      </c>
      <c r="H17" t="s">
        <v>390</v>
      </c>
      <c r="I17" t="s">
        <v>375</v>
      </c>
      <c r="J17" t="s">
        <v>391</v>
      </c>
      <c r="K17" s="12">
        <v>1</v>
      </c>
      <c r="L17" t="e">
        <f>_xlfn.IFNA(VLOOKUP(Table47[[#This Row],[Resource group]],#REF!,2,FALSE),"0")</f>
        <v>#REF!</v>
      </c>
      <c r="M17" s="31">
        <v>148.50000000000003</v>
      </c>
      <c r="N17" s="1" t="e">
        <f>Table47[[#This Row],[FTE (%) 2026]]*Table47[[#This Row],[Hrs 2026]]*Table47[[#This Row],[Rate 2026]]</f>
        <v>#REF!</v>
      </c>
      <c r="O17" s="1" t="e">
        <f>Table47[[#This Row],[FTE (%) 2026]]*Table47[[#This Row],[Hrs 2026]]</f>
        <v>#REF!</v>
      </c>
      <c r="P17" s="1" t="e">
        <f>Table47[[#This Row],[Personnel costs ]]</f>
        <v>#REF!</v>
      </c>
      <c r="Q17" s="1">
        <v>178000</v>
      </c>
      <c r="R17" s="1">
        <v>36749</v>
      </c>
      <c r="S17" t="s">
        <v>392</v>
      </c>
      <c r="T17" s="1" t="e">
        <f>Table47[[#This Row],[Prognosis BP26]]-Table47[[#This Row],[Personnel costs ]]</f>
        <v>#REF!</v>
      </c>
    </row>
    <row r="18" spans="1:20" s="6" customFormat="1" ht="15" customHeight="1">
      <c r="A18" s="6" t="s">
        <v>56</v>
      </c>
      <c r="B18" s="6" t="s">
        <v>371</v>
      </c>
      <c r="C18" s="6" t="s">
        <v>45</v>
      </c>
      <c r="D18" s="6" t="s">
        <v>120</v>
      </c>
      <c r="E18" s="6" t="s">
        <v>72</v>
      </c>
      <c r="F18" s="19" t="s">
        <v>67</v>
      </c>
      <c r="G18" t="s">
        <v>121</v>
      </c>
      <c r="H18" t="s">
        <v>393</v>
      </c>
      <c r="I18" t="s">
        <v>375</v>
      </c>
      <c r="J18" t="s">
        <v>394</v>
      </c>
      <c r="K18" s="13">
        <v>0.35</v>
      </c>
      <c r="L18" s="6" t="e">
        <f>_xlfn.IFNA(VLOOKUP(Table47[[#This Row],[Resource group]],#REF!,2,FALSE),"0")</f>
        <v>#REF!</v>
      </c>
      <c r="M18" s="8" t="e">
        <f>_xlfn.IFNA(VLOOKUP(Table47[[#This Row],[Resource group]],#REF!,4,FALSE),"0")</f>
        <v>#REF!</v>
      </c>
      <c r="N18" s="8" t="e">
        <f>Table47[[#This Row],[FTE (%) 2026]]*Table47[[#This Row],[Hrs 2026]]*Table47[[#This Row],[Rate 2026]]</f>
        <v>#REF!</v>
      </c>
      <c r="O18" s="33" t="e">
        <f>Table47[[#This Row],[FTE (%) 2026]]*Table47[[#This Row],[Hrs 2026]]</f>
        <v>#REF!</v>
      </c>
      <c r="P18" s="8" t="e">
        <f>Table47[[#This Row],[Personnel costs ]]</f>
        <v>#REF!</v>
      </c>
      <c r="Q18" s="1">
        <v>18000</v>
      </c>
      <c r="R18" s="1" t="e">
        <f>VLOOKUP(Table47[[#This Row],[Task name]],#REF!,5,FALSE)</f>
        <v>#REF!</v>
      </c>
      <c r="S18"/>
      <c r="T18" s="1" t="e">
        <f>Table47[[#This Row],[Prognosis BP26]]-Table47[[#This Row],[Personnel costs ]]</f>
        <v>#REF!</v>
      </c>
    </row>
    <row r="19" spans="1:20" s="6" customFormat="1" ht="15" customHeight="1">
      <c r="A19" s="6" t="s">
        <v>56</v>
      </c>
      <c r="B19" s="6" t="s">
        <v>371</v>
      </c>
      <c r="C19" s="6" t="s">
        <v>45</v>
      </c>
      <c r="D19" s="6" t="s">
        <v>122</v>
      </c>
      <c r="E19" s="6" t="s">
        <v>448</v>
      </c>
      <c r="F19" s="19" t="s">
        <v>67</v>
      </c>
      <c r="G19" t="s">
        <v>356</v>
      </c>
      <c r="H19" t="s">
        <v>393</v>
      </c>
      <c r="I19" t="s">
        <v>375</v>
      </c>
      <c r="J19" t="s">
        <v>395</v>
      </c>
      <c r="K19" s="13">
        <v>0.3</v>
      </c>
      <c r="L19" s="6" t="e">
        <f>_xlfn.IFNA(VLOOKUP(Table47[[#This Row],[Resource group]],#REF!,2,FALSE),"0")</f>
        <v>#REF!</v>
      </c>
      <c r="M19" s="8" t="e">
        <f>_xlfn.IFNA(VLOOKUP(Table47[[#This Row],[Resource group]],#REF!,4,FALSE),"0")</f>
        <v>#REF!</v>
      </c>
      <c r="N19" s="8" t="e">
        <f>Table47[[#This Row],[FTE (%) 2026]]*Table47[[#This Row],[Hrs 2026]]*Table47[[#This Row],[Rate 2026]]</f>
        <v>#REF!</v>
      </c>
      <c r="O19" s="33" t="e">
        <f>Table47[[#This Row],[FTE (%) 2026]]*Table47[[#This Row],[Hrs 2026]]</f>
        <v>#REF!</v>
      </c>
      <c r="P19" s="8" t="e">
        <f>Table47[[#This Row],[Personnel costs ]]</f>
        <v>#REF!</v>
      </c>
      <c r="Q19" s="1">
        <v>20000</v>
      </c>
      <c r="R19" s="1" t="e">
        <f>VLOOKUP(Table47[[#This Row],[Task name]],#REF!,5,FALSE)</f>
        <v>#REF!</v>
      </c>
      <c r="S19"/>
      <c r="T19" s="1" t="e">
        <f>Table47[[#This Row],[Prognosis BP26]]-Table47[[#This Row],[Personnel costs ]]</f>
        <v>#REF!</v>
      </c>
    </row>
    <row r="20" spans="1:20" s="6" customFormat="1" ht="15" customHeight="1">
      <c r="A20" s="6" t="s">
        <v>56</v>
      </c>
      <c r="B20" s="6" t="s">
        <v>371</v>
      </c>
      <c r="C20" s="6" t="s">
        <v>45</v>
      </c>
      <c r="D20" s="6" t="s">
        <v>125</v>
      </c>
      <c r="E20" s="6" t="s">
        <v>126</v>
      </c>
      <c r="F20" s="19" t="s">
        <v>67</v>
      </c>
      <c r="G20" t="s">
        <v>127</v>
      </c>
      <c r="H20" t="s">
        <v>393</v>
      </c>
      <c r="I20" t="s">
        <v>375</v>
      </c>
      <c r="J20" t="s">
        <v>396</v>
      </c>
      <c r="K20" s="13">
        <v>0.5</v>
      </c>
      <c r="L20" s="6" t="e">
        <f>_xlfn.IFNA(VLOOKUP(Table47[[#This Row],[Resource group]],#REF!,2,FALSE),"0")</f>
        <v>#REF!</v>
      </c>
      <c r="M20" s="8" t="e">
        <f>_xlfn.IFNA(VLOOKUP(Table47[[#This Row],[Resource group]],#REF!,4,FALSE),"0")</f>
        <v>#REF!</v>
      </c>
      <c r="N20" s="8" t="e">
        <f>Table47[[#This Row],[FTE (%) 2026]]*Table47[[#This Row],[Hrs 2026]]*Table47[[#This Row],[Rate 2026]]</f>
        <v>#REF!</v>
      </c>
      <c r="O20" s="33" t="e">
        <f>Table47[[#This Row],[FTE (%) 2026]]*Table47[[#This Row],[Hrs 2026]]</f>
        <v>#REF!</v>
      </c>
      <c r="P20" s="8" t="e">
        <f>Table47[[#This Row],[Personnel costs ]]</f>
        <v>#REF!</v>
      </c>
      <c r="Q20" s="1">
        <v>20000</v>
      </c>
      <c r="R20" s="1" t="e">
        <f>VLOOKUP(Table47[[#This Row],[Task name]],#REF!,5,FALSE)</f>
        <v>#REF!</v>
      </c>
      <c r="S20"/>
      <c r="T20" s="1" t="e">
        <f>Table47[[#This Row],[Prognosis BP26]]-Table47[[#This Row],[Personnel costs ]]</f>
        <v>#REF!</v>
      </c>
    </row>
    <row r="21" spans="1:20" s="6" customFormat="1" ht="15" customHeight="1">
      <c r="A21" s="6" t="s">
        <v>76</v>
      </c>
      <c r="B21" s="6" t="s">
        <v>371</v>
      </c>
      <c r="C21" s="6" t="s">
        <v>45</v>
      </c>
      <c r="D21" s="6" t="s">
        <v>129</v>
      </c>
      <c r="E21" s="6" t="s">
        <v>47</v>
      </c>
      <c r="F21" s="19" t="s">
        <v>54</v>
      </c>
      <c r="G21" t="s">
        <v>357</v>
      </c>
      <c r="H21" t="s">
        <v>393</v>
      </c>
      <c r="I21" t="s">
        <v>375</v>
      </c>
      <c r="J21" t="s">
        <v>397</v>
      </c>
      <c r="K21" s="13" t="s">
        <v>132</v>
      </c>
      <c r="L21" s="6" t="e">
        <f>_xlfn.IFNA(VLOOKUP(Table47[[#This Row],[Resource group]],#REF!,2,FALSE),"0")</f>
        <v>#REF!</v>
      </c>
      <c r="M21" s="8" t="e">
        <f>_xlfn.IFNA(VLOOKUP(Table47[[#This Row],[Resource group]],#REF!,4,FALSE),"0")</f>
        <v>#REF!</v>
      </c>
      <c r="N21" s="8" t="e">
        <f>Table47[[#This Row],[FTE (%) 2026]]*Table47[[#This Row],[Hrs 2026]]*Table47[[#This Row],[Rate 2026]]</f>
        <v>#VALUE!</v>
      </c>
      <c r="O21" s="33" t="e">
        <f>Table47[[#This Row],[FTE (%) 2026]]*Table47[[#This Row],[Hrs 2026]]</f>
        <v>#VALUE!</v>
      </c>
      <c r="P21" s="8">
        <f>Table47[[#This Row],[Prognosis BP26]]</f>
        <v>116092</v>
      </c>
      <c r="Q21" s="1">
        <f>107474+8618</f>
        <v>116092</v>
      </c>
      <c r="R21" s="1">
        <v>127254.49456740935</v>
      </c>
      <c r="S21" t="s">
        <v>398</v>
      </c>
      <c r="T21" s="1" t="e">
        <f>Table47[[#This Row],[Prognosis BP26]]-Table47[[#This Row],[Personnel costs ]]</f>
        <v>#VALUE!</v>
      </c>
    </row>
    <row r="22" spans="1:20" ht="15" customHeight="1">
      <c r="A22" t="s">
        <v>76</v>
      </c>
      <c r="B22" s="6" t="s">
        <v>368</v>
      </c>
      <c r="C22" t="s">
        <v>39</v>
      </c>
      <c r="D22" t="s">
        <v>134</v>
      </c>
      <c r="E22" t="s">
        <v>135</v>
      </c>
      <c r="F22" s="10" t="s">
        <v>67</v>
      </c>
      <c r="G22" t="s">
        <v>137</v>
      </c>
      <c r="H22" t="s">
        <v>393</v>
      </c>
      <c r="I22" t="s">
        <v>375</v>
      </c>
      <c r="J22" t="s">
        <v>399</v>
      </c>
      <c r="K22" s="12">
        <v>1</v>
      </c>
      <c r="L22" t="e">
        <f>_xlfn.IFNA(VLOOKUP(Table47[[#This Row],[Resource group]],#REF!,2,FALSE),"0")</f>
        <v>#REF!</v>
      </c>
      <c r="M22" s="31">
        <v>140.30000000000004</v>
      </c>
      <c r="N22" s="1" t="e">
        <f>Table47[[#This Row],[FTE (%) 2026]]*Table47[[#This Row],[Hrs 2026]]*Table47[[#This Row],[Rate 2026]]</f>
        <v>#REF!</v>
      </c>
      <c r="O22" s="1" t="e">
        <f>Table47[[#This Row],[FTE (%) 2026]]*Table47[[#This Row],[Hrs 2026]]</f>
        <v>#REF!</v>
      </c>
      <c r="P22" s="1" t="e">
        <f>Table47[[#This Row],[Personnel costs ]]</f>
        <v>#REF!</v>
      </c>
      <c r="Q22" s="1">
        <v>201000</v>
      </c>
      <c r="R22" s="1">
        <v>248000</v>
      </c>
      <c r="S22" t="s">
        <v>400</v>
      </c>
      <c r="T22" s="1" t="e">
        <f>Table47[[#This Row],[Prognosis BP26]]-Table47[[#This Row],[Personnel costs ]]</f>
        <v>#REF!</v>
      </c>
    </row>
    <row r="23" spans="1:20" s="6" customFormat="1" ht="15" customHeight="1">
      <c r="A23" s="6" t="s">
        <v>96</v>
      </c>
      <c r="B23" s="6" t="s">
        <v>371</v>
      </c>
      <c r="C23" s="6" t="s">
        <v>45</v>
      </c>
      <c r="D23" s="6" t="s">
        <v>139</v>
      </c>
      <c r="E23" s="6" t="s">
        <v>47</v>
      </c>
      <c r="F23" s="19" t="s">
        <v>54</v>
      </c>
      <c r="G23" t="s">
        <v>140</v>
      </c>
      <c r="H23" t="s">
        <v>393</v>
      </c>
      <c r="I23" t="s">
        <v>375</v>
      </c>
      <c r="J23" t="s">
        <v>399</v>
      </c>
      <c r="K23" s="13" t="s">
        <v>78</v>
      </c>
      <c r="L23" s="6" t="e">
        <f>_xlfn.IFNA(VLOOKUP(Table47[[#This Row],[Resource group]],#REF!,2,FALSE),"0")</f>
        <v>#REF!</v>
      </c>
      <c r="M23" s="8" t="e">
        <f>_xlfn.IFNA(VLOOKUP(Table47[[#This Row],[Resource group]],#REF!,4,FALSE),"0")</f>
        <v>#REF!</v>
      </c>
      <c r="N23" s="8"/>
      <c r="O23" s="33" t="e">
        <f>Table47[[#This Row],[FTE (%) 2026]]*Table47[[#This Row],[Hrs 2026]]</f>
        <v>#VALUE!</v>
      </c>
      <c r="P23" s="8">
        <f>Table47[[#This Row],[Prognosis BP26]]</f>
        <v>355125</v>
      </c>
      <c r="Q23" s="1">
        <v>355125</v>
      </c>
      <c r="R23" s="1">
        <v>298288.98856446799</v>
      </c>
      <c r="S23" t="s">
        <v>398</v>
      </c>
      <c r="T23" s="1">
        <f>Table47[[#This Row],[Prognosis BP26]]-Table47[[#This Row],[Personnel costs ]]</f>
        <v>355125</v>
      </c>
    </row>
    <row r="24" spans="1:20" ht="15" customHeight="1">
      <c r="A24" t="s">
        <v>141</v>
      </c>
      <c r="B24" t="s">
        <v>401</v>
      </c>
      <c r="C24" t="s">
        <v>143</v>
      </c>
      <c r="D24" t="s">
        <v>144</v>
      </c>
      <c r="E24" t="s">
        <v>145</v>
      </c>
      <c r="F24" s="10" t="s">
        <v>54</v>
      </c>
      <c r="G24" t="s">
        <v>147</v>
      </c>
      <c r="H24" t="s">
        <v>402</v>
      </c>
      <c r="I24" t="s">
        <v>403</v>
      </c>
      <c r="J24" t="s">
        <v>404</v>
      </c>
      <c r="K24" s="12"/>
      <c r="L24" t="e">
        <f>_xlfn.IFNA(VLOOKUP(Table47[[#This Row],[Resource group]],#REF!,2,FALSE),"0")</f>
        <v>#REF!</v>
      </c>
      <c r="M24" s="1" t="e">
        <f>_xlfn.IFNA(VLOOKUP(Table47[[#This Row],[Resource group]],#REF!,4,FALSE),"0")</f>
        <v>#REF!</v>
      </c>
      <c r="N24" s="1" t="e">
        <f>Table47[[#This Row],[FTE (%) 2026]]*Table47[[#This Row],[Hrs 2026]]*Table47[[#This Row],[Rate 2026]]</f>
        <v>#REF!</v>
      </c>
      <c r="O24" s="1" t="e">
        <f>Table47[[#This Row],[FTE (%) 2026]]*Table47[[#This Row],[Hrs 2026]]</f>
        <v>#REF!</v>
      </c>
      <c r="P24" s="1">
        <f>Table47[[#This Row],[Prognosis BP26]]</f>
        <v>626875</v>
      </c>
      <c r="Q24" s="1">
        <f>(1475000*0.85)/2</f>
        <v>626875</v>
      </c>
      <c r="R24" s="1" t="e">
        <f>VLOOKUP(Table47[[#This Row],[Task name]],#REF!,5,FALSE)</f>
        <v>#REF!</v>
      </c>
      <c r="S24" t="s">
        <v>405</v>
      </c>
      <c r="T24" s="1" t="e">
        <f>Table47[[#This Row],[Prognosis BP26]]-Table47[[#This Row],[Personnel costs ]]</f>
        <v>#REF!</v>
      </c>
    </row>
    <row r="25" spans="1:20" ht="15" customHeight="1">
      <c r="A25" t="s">
        <v>141</v>
      </c>
      <c r="B25" t="s">
        <v>406</v>
      </c>
      <c r="C25" t="s">
        <v>49</v>
      </c>
      <c r="D25" t="s">
        <v>149</v>
      </c>
      <c r="E25" t="s">
        <v>145</v>
      </c>
      <c r="F25" s="10" t="s">
        <v>54</v>
      </c>
      <c r="G25" t="s">
        <v>147</v>
      </c>
      <c r="H25" t="s">
        <v>402</v>
      </c>
      <c r="I25" t="s">
        <v>403</v>
      </c>
      <c r="J25" t="s">
        <v>404</v>
      </c>
      <c r="K25" s="12"/>
      <c r="L25" t="e">
        <f>_xlfn.IFNA(VLOOKUP(Table47[[#This Row],[Resource group]],#REF!,2,FALSE),"0")</f>
        <v>#REF!</v>
      </c>
      <c r="M25" s="1" t="e">
        <f>_xlfn.IFNA(VLOOKUP(Table47[[#This Row],[Resource group]],#REF!,4,FALSE),"0")</f>
        <v>#REF!</v>
      </c>
      <c r="N25" s="1" t="e">
        <f>Table47[[#This Row],[FTE (%) 2026]]*Table47[[#This Row],[Hrs 2026]]*Table47[[#This Row],[Rate 2026]]</f>
        <v>#REF!</v>
      </c>
      <c r="O25" s="1" t="e">
        <f>Table47[[#This Row],[FTE (%) 2026]]*Table47[[#This Row],[Hrs 2026]]</f>
        <v>#REF!</v>
      </c>
      <c r="P25" s="1">
        <f>Table47[[#This Row],[Prognosis BP26]]</f>
        <v>626875</v>
      </c>
      <c r="Q25" s="1">
        <f>(1475000*0.85)/2</f>
        <v>626875</v>
      </c>
      <c r="R25" s="1" t="e">
        <f>VLOOKUP(Table47[[#This Row],[Task name]],#REF!,5,FALSE)</f>
        <v>#REF!</v>
      </c>
      <c r="S25" t="s">
        <v>405</v>
      </c>
      <c r="T25" s="1" t="e">
        <f>Table47[[#This Row],[Prognosis BP26]]-Table47[[#This Row],[Personnel costs ]]</f>
        <v>#REF!</v>
      </c>
    </row>
    <row r="26" spans="1:20" ht="15" customHeight="1">
      <c r="A26" t="s">
        <v>141</v>
      </c>
      <c r="B26" t="s">
        <v>401</v>
      </c>
      <c r="C26" t="s">
        <v>143</v>
      </c>
      <c r="D26" t="s">
        <v>151</v>
      </c>
      <c r="E26" t="s">
        <v>145</v>
      </c>
      <c r="F26" s="10" t="s">
        <v>54</v>
      </c>
      <c r="G26" t="s">
        <v>147</v>
      </c>
      <c r="H26" t="s">
        <v>402</v>
      </c>
      <c r="I26" t="s">
        <v>403</v>
      </c>
      <c r="J26" t="s">
        <v>407</v>
      </c>
      <c r="K26" s="12"/>
      <c r="L26" t="e">
        <f>_xlfn.IFNA(VLOOKUP(Table47[[#This Row],[Resource group]],#REF!,2,FALSE),"0")</f>
        <v>#REF!</v>
      </c>
      <c r="M26" s="1" t="e">
        <f>_xlfn.IFNA(VLOOKUP(Table47[[#This Row],[Resource group]],#REF!,4,FALSE),"0")</f>
        <v>#REF!</v>
      </c>
      <c r="N26" s="1" t="e">
        <f>Table47[[#This Row],[FTE (%) 2026]]*Table47[[#This Row],[Hrs 2026]]*Table47[[#This Row],[Rate 2026]]</f>
        <v>#REF!</v>
      </c>
      <c r="O26" s="1" t="e">
        <f>Table47[[#This Row],[FTE (%) 2026]]*Table47[[#This Row],[Hrs 2026]]</f>
        <v>#REF!</v>
      </c>
      <c r="P26" s="1">
        <f>Table47[[#This Row],[Prognosis BP26]]</f>
        <v>110625</v>
      </c>
      <c r="Q26" s="1">
        <f>(1475000*0.15)/2</f>
        <v>110625</v>
      </c>
      <c r="R26" s="1" t="e">
        <f>VLOOKUP(Table47[[#This Row],[Task name]],#REF!,5,FALSE)</f>
        <v>#REF!</v>
      </c>
      <c r="S26" t="s">
        <v>405</v>
      </c>
      <c r="T26" s="1" t="e">
        <f>Table47[[#This Row],[Prognosis BP26]]-Table47[[#This Row],[Personnel costs ]]</f>
        <v>#REF!</v>
      </c>
    </row>
    <row r="27" spans="1:20" ht="15" customHeight="1">
      <c r="A27" t="s">
        <v>141</v>
      </c>
      <c r="B27" t="s">
        <v>406</v>
      </c>
      <c r="C27" t="s">
        <v>49</v>
      </c>
      <c r="D27" t="s">
        <v>151</v>
      </c>
      <c r="E27" t="s">
        <v>145</v>
      </c>
      <c r="F27" s="10" t="s">
        <v>54</v>
      </c>
      <c r="G27" t="s">
        <v>147</v>
      </c>
      <c r="H27" t="s">
        <v>402</v>
      </c>
      <c r="I27" t="s">
        <v>403</v>
      </c>
      <c r="J27" t="s">
        <v>407</v>
      </c>
      <c r="K27" s="12"/>
      <c r="L27" t="e">
        <f>_xlfn.IFNA(VLOOKUP(Table47[[#This Row],[Resource group]],#REF!,2,FALSE),"0")</f>
        <v>#REF!</v>
      </c>
      <c r="M27" s="1" t="e">
        <f>_xlfn.IFNA(VLOOKUP(Table47[[#This Row],[Resource group]],#REF!,4,FALSE),"0")</f>
        <v>#REF!</v>
      </c>
      <c r="N27" s="1" t="e">
        <f>Table47[[#This Row],[FTE (%) 2026]]*Table47[[#This Row],[Hrs 2026]]*Table47[[#This Row],[Rate 2026]]</f>
        <v>#REF!</v>
      </c>
      <c r="O27" s="1" t="e">
        <f>Table47[[#This Row],[FTE (%) 2026]]*Table47[[#This Row],[Hrs 2026]]</f>
        <v>#REF!</v>
      </c>
      <c r="P27" s="1">
        <f>Table47[[#This Row],[Prognosis BP26]]</f>
        <v>110625</v>
      </c>
      <c r="Q27" s="1">
        <f>(1475000*0.15)/2</f>
        <v>110625</v>
      </c>
      <c r="R27" s="1" t="e">
        <f>VLOOKUP(Table47[[#This Row],[Task name]],#REF!,5,FALSE)</f>
        <v>#REF!</v>
      </c>
      <c r="S27" t="s">
        <v>405</v>
      </c>
      <c r="T27" s="1" t="e">
        <f>Table47[[#This Row],[Prognosis BP26]]-Table47[[#This Row],[Personnel costs ]]</f>
        <v>#REF!</v>
      </c>
    </row>
    <row r="28" spans="1:20" s="6" customFormat="1" ht="15" customHeight="1">
      <c r="A28" s="6" t="s">
        <v>56</v>
      </c>
      <c r="B28" s="6" t="s">
        <v>371</v>
      </c>
      <c r="C28" s="6" t="s">
        <v>45</v>
      </c>
      <c r="D28" s="6" t="s">
        <v>154</v>
      </c>
      <c r="E28" s="6" t="s">
        <v>47</v>
      </c>
      <c r="F28" s="19" t="s">
        <v>54</v>
      </c>
      <c r="G28" t="s">
        <v>43</v>
      </c>
      <c r="H28" t="s">
        <v>408</v>
      </c>
      <c r="I28" t="s">
        <v>375</v>
      </c>
      <c r="J28" t="s">
        <v>409</v>
      </c>
      <c r="K28" s="13">
        <v>1</v>
      </c>
      <c r="L28" s="6" t="e">
        <f>_xlfn.IFNA(VLOOKUP(Table47[[#This Row],[Resource group]],#REF!,2,FALSE),"0")</f>
        <v>#REF!</v>
      </c>
      <c r="M28" s="8" t="e">
        <f>_xlfn.IFNA(VLOOKUP(Table47[[#This Row],[Resource group]],#REF!,4,FALSE),"0")</f>
        <v>#REF!</v>
      </c>
      <c r="N28" s="8" t="e">
        <f>Table47[[#This Row],[FTE (%) 2026]]*Table47[[#This Row],[Hrs 2026]]*Table47[[#This Row],[Rate 2026]]</f>
        <v>#REF!</v>
      </c>
      <c r="O28" s="33" t="e">
        <f>Table47[[#This Row],[FTE (%) 2026]]*Table47[[#This Row],[Hrs 2026]]</f>
        <v>#REF!</v>
      </c>
      <c r="P28" s="8">
        <f>Table47[[#This Row],[Prognosis BP26]]</f>
        <v>130000</v>
      </c>
      <c r="Q28" s="1">
        <v>130000</v>
      </c>
      <c r="R28" s="1" t="e">
        <f>VLOOKUP(Table47[[#This Row],[Task name]],#REF!,5,FALSE)</f>
        <v>#REF!</v>
      </c>
      <c r="S28"/>
      <c r="T28" s="1" t="e">
        <f>Table47[[#This Row],[Prognosis BP26]]-Table47[[#This Row],[Personnel costs ]]</f>
        <v>#REF!</v>
      </c>
    </row>
    <row r="29" spans="1:20" s="6" customFormat="1" ht="15" customHeight="1">
      <c r="A29" s="6" t="s">
        <v>56</v>
      </c>
      <c r="B29" s="6" t="s">
        <v>371</v>
      </c>
      <c r="C29" s="6" t="s">
        <v>45</v>
      </c>
      <c r="D29" s="6" t="s">
        <v>157</v>
      </c>
      <c r="E29" s="6" t="s">
        <v>47</v>
      </c>
      <c r="F29" s="19" t="s">
        <v>54</v>
      </c>
      <c r="G29" t="s">
        <v>43</v>
      </c>
      <c r="H29" t="s">
        <v>408</v>
      </c>
      <c r="I29" s="16" t="s">
        <v>403</v>
      </c>
      <c r="J29" s="16" t="s">
        <v>410</v>
      </c>
      <c r="K29" s="13"/>
      <c r="L29" s="6" t="e">
        <f>_xlfn.IFNA(VLOOKUP(Table47[[#This Row],[Resource group]],#REF!,2,FALSE),"0")</f>
        <v>#REF!</v>
      </c>
      <c r="M29" s="8" t="e">
        <f>_xlfn.IFNA(VLOOKUP(Table47[[#This Row],[Resource group]],#REF!,4,FALSE),"0")</f>
        <v>#REF!</v>
      </c>
      <c r="N29" s="8" t="e">
        <f>Table47[[#This Row],[FTE (%) 2026]]*Table47[[#This Row],[Hrs 2026]]*Table47[[#This Row],[Rate 2026]]</f>
        <v>#REF!</v>
      </c>
      <c r="O29" s="33" t="e">
        <f>Table47[[#This Row],[FTE (%) 2026]]*Table47[[#This Row],[Hrs 2026]]</f>
        <v>#REF!</v>
      </c>
      <c r="P29" s="8">
        <f>Table47[[#This Row],[Prognosis BP26]]</f>
        <v>150000</v>
      </c>
      <c r="Q29" s="8">
        <v>150000</v>
      </c>
      <c r="R29" s="1" t="e">
        <f>VLOOKUP(Table47[[#This Row],[Task name]],#REF!,5,FALSE)</f>
        <v>#REF!</v>
      </c>
      <c r="S29"/>
      <c r="T29" s="1" t="e">
        <f>Table47[[#This Row],[Prognosis BP26]]-Table47[[#This Row],[Personnel costs ]]</f>
        <v>#REF!</v>
      </c>
    </row>
    <row r="30" spans="1:20" s="6" customFormat="1" ht="15" customHeight="1">
      <c r="A30" s="6" t="s">
        <v>56</v>
      </c>
      <c r="B30" s="6" t="s">
        <v>371</v>
      </c>
      <c r="C30" s="6" t="s">
        <v>45</v>
      </c>
      <c r="D30" s="6" t="s">
        <v>161</v>
      </c>
      <c r="E30" s="6" t="s">
        <v>47</v>
      </c>
      <c r="F30" s="19" t="s">
        <v>54</v>
      </c>
      <c r="G30" t="s">
        <v>43</v>
      </c>
      <c r="H30" t="s">
        <v>408</v>
      </c>
      <c r="I30" s="16" t="s">
        <v>403</v>
      </c>
      <c r="J30" s="16" t="s">
        <v>411</v>
      </c>
      <c r="K30" s="13" t="s">
        <v>78</v>
      </c>
      <c r="L30" s="6" t="e">
        <f>_xlfn.IFNA(VLOOKUP(Table47[[#This Row],[Resource group]],#REF!,2,FALSE),"0")</f>
        <v>#REF!</v>
      </c>
      <c r="M30" s="8" t="e">
        <f>_xlfn.IFNA(VLOOKUP(Table47[[#This Row],[Resource group]],#REF!,4,FALSE),"0")</f>
        <v>#REF!</v>
      </c>
      <c r="N30" s="8"/>
      <c r="O30" s="33" t="e">
        <f>Table47[[#This Row],[FTE (%) 2026]]*Table47[[#This Row],[Hrs 2026]]</f>
        <v>#VALUE!</v>
      </c>
      <c r="P30" s="8">
        <f>Table47[[#This Row],[Prognosis BP26]]</f>
        <v>150000</v>
      </c>
      <c r="Q30" s="1">
        <v>150000</v>
      </c>
      <c r="R30" s="1" t="e">
        <f>VLOOKUP(Table47[[#This Row],[Task name]],#REF!,5,FALSE)</f>
        <v>#REF!</v>
      </c>
      <c r="S30"/>
      <c r="T30" s="1">
        <f>Table47[[#This Row],[Prognosis BP26]]-Table47[[#This Row],[Personnel costs ]]</f>
        <v>150000</v>
      </c>
    </row>
    <row r="31" spans="1:20" s="6" customFormat="1" ht="15" customHeight="1">
      <c r="A31" s="6" t="s">
        <v>56</v>
      </c>
      <c r="B31" s="6" t="s">
        <v>371</v>
      </c>
      <c r="C31" s="6" t="s">
        <v>45</v>
      </c>
      <c r="D31" s="6" t="s">
        <v>164</v>
      </c>
      <c r="E31" s="6" t="s">
        <v>47</v>
      </c>
      <c r="F31" s="19" t="s">
        <v>54</v>
      </c>
      <c r="G31" t="s">
        <v>165</v>
      </c>
      <c r="H31" t="s">
        <v>408</v>
      </c>
      <c r="I31" t="s">
        <v>375</v>
      </c>
      <c r="J31" s="5" t="s">
        <v>412</v>
      </c>
      <c r="K31" s="20"/>
      <c r="L31" s="6" t="e">
        <f>_xlfn.IFNA(VLOOKUP(Table47[[#This Row],[Resource group]],#REF!,2,FALSE),"0")</f>
        <v>#REF!</v>
      </c>
      <c r="M31" s="8" t="e">
        <f>_xlfn.IFNA(VLOOKUP(Table47[[#This Row],[Resource group]],#REF!,4,FALSE),"0")</f>
        <v>#REF!</v>
      </c>
      <c r="N31" s="8" t="e">
        <f>Table47[[#This Row],[FTE (%) 2026]]*Table47[[#This Row],[Hrs 2026]]*Table47[[#This Row],[Rate 2026]]</f>
        <v>#REF!</v>
      </c>
      <c r="O31" s="33" t="e">
        <f>Table47[[#This Row],[FTE (%) 2026]]*Table47[[#This Row],[Hrs 2026]]</f>
        <v>#REF!</v>
      </c>
      <c r="P31" s="8">
        <f>Table47[[#This Row],[Prognosis BP26]]</f>
        <v>150000</v>
      </c>
      <c r="Q31" s="7">
        <v>150000</v>
      </c>
      <c r="R31" s="1"/>
      <c r="S31"/>
      <c r="T31" s="1" t="e">
        <f>Table47[[#This Row],[Prognosis BP26]]-Table47[[#This Row],[Personnel costs ]]</f>
        <v>#REF!</v>
      </c>
    </row>
    <row r="32" spans="1:20" s="6" customFormat="1" ht="15" customHeight="1">
      <c r="A32" s="6" t="s">
        <v>56</v>
      </c>
      <c r="B32" s="6" t="s">
        <v>371</v>
      </c>
      <c r="C32" s="6" t="s">
        <v>45</v>
      </c>
      <c r="D32" s="6" t="s">
        <v>169</v>
      </c>
      <c r="E32" s="6" t="s">
        <v>47</v>
      </c>
      <c r="F32" s="19" t="s">
        <v>54</v>
      </c>
      <c r="G32" t="s">
        <v>43</v>
      </c>
      <c r="H32" t="s">
        <v>413</v>
      </c>
      <c r="I32" t="s">
        <v>403</v>
      </c>
      <c r="J32" t="s">
        <v>414</v>
      </c>
      <c r="K32" s="13"/>
      <c r="L32" s="6" t="e">
        <f>_xlfn.IFNA(VLOOKUP(Table47[[#This Row],[Resource group]],#REF!,2,FALSE),"0")</f>
        <v>#REF!</v>
      </c>
      <c r="M32" s="8" t="e">
        <f>_xlfn.IFNA(VLOOKUP(Table47[[#This Row],[Resource group]],#REF!,4,FALSE),"0")</f>
        <v>#REF!</v>
      </c>
      <c r="N32" s="8" t="e">
        <f>Table47[[#This Row],[FTE (%) 2026]]*Table47[[#This Row],[Hrs 2026]]*Table47[[#This Row],[Rate 2026]]</f>
        <v>#REF!</v>
      </c>
      <c r="O32" s="33" t="e">
        <f>Table47[[#This Row],[FTE (%) 2026]]*Table47[[#This Row],[Hrs 2026]]</f>
        <v>#REF!</v>
      </c>
      <c r="P32" s="8">
        <f>Table47[[#This Row],[Prognosis BP26]]</f>
        <v>975000</v>
      </c>
      <c r="Q32" s="8">
        <v>975000</v>
      </c>
      <c r="R32" s="1" t="e">
        <f>VLOOKUP(Table47[[#This Row],[Task name]],#REF!,5,FALSE)</f>
        <v>#REF!</v>
      </c>
      <c r="S32"/>
      <c r="T32" s="1" t="e">
        <f>Table47[[#This Row],[Prognosis BP26]]-Table47[[#This Row],[Personnel costs ]]</f>
        <v>#REF!</v>
      </c>
    </row>
    <row r="33" spans="1:20" ht="15" customHeight="1">
      <c r="A33" t="s">
        <v>141</v>
      </c>
      <c r="B33" t="s">
        <v>401</v>
      </c>
      <c r="C33" t="s">
        <v>143</v>
      </c>
      <c r="D33" t="s">
        <v>171</v>
      </c>
      <c r="H33" t="s">
        <v>415</v>
      </c>
      <c r="I33" t="s">
        <v>373</v>
      </c>
      <c r="J33" t="s">
        <v>416</v>
      </c>
      <c r="K33" s="15"/>
      <c r="L33" t="e">
        <f>_xlfn.IFNA(VLOOKUP(Table47[[#This Row],[Resource group]],#REF!,2,FALSE),"0")</f>
        <v>#REF!</v>
      </c>
      <c r="M33" s="1" t="e">
        <f>_xlfn.IFNA(VLOOKUP(Table47[[#This Row],[Resource group]],#REF!,4,FALSE),"0")</f>
        <v>#REF!</v>
      </c>
      <c r="N33" s="1" t="e">
        <f>Table47[[#This Row],[FTE (%) 2026]]*Table47[[#This Row],[Hrs 2026]]*Table47[[#This Row],[Rate 2026]]</f>
        <v>#REF!</v>
      </c>
      <c r="O33" s="1" t="e">
        <f>Table47[[#This Row],[FTE (%) 2026]]*Table47[[#This Row],[Hrs 2026]]</f>
        <v>#REF!</v>
      </c>
      <c r="P33" s="1">
        <f>Table47[[#This Row],[Prognosis BP26]]</f>
        <v>200000</v>
      </c>
      <c r="Q33" s="1">
        <f>400000/2</f>
        <v>200000</v>
      </c>
      <c r="R33" s="1"/>
      <c r="T33" s="1" t="e">
        <f>Table47[[#This Row],[Prognosis BP26]]-Table47[[#This Row],[Personnel costs ]]</f>
        <v>#REF!</v>
      </c>
    </row>
    <row r="34" spans="1:20" ht="15" customHeight="1">
      <c r="A34" t="s">
        <v>141</v>
      </c>
      <c r="B34" t="s">
        <v>406</v>
      </c>
      <c r="C34" t="s">
        <v>49</v>
      </c>
      <c r="D34" t="s">
        <v>171</v>
      </c>
      <c r="H34" t="s">
        <v>415</v>
      </c>
      <c r="I34" t="s">
        <v>373</v>
      </c>
      <c r="J34" t="s">
        <v>416</v>
      </c>
      <c r="K34" s="15"/>
      <c r="L34" t="e">
        <f>_xlfn.IFNA(VLOOKUP(Table47[[#This Row],[Resource group]],#REF!,2,FALSE),"0")</f>
        <v>#REF!</v>
      </c>
      <c r="M34" s="1" t="e">
        <f>_xlfn.IFNA(VLOOKUP(Table47[[#This Row],[Resource group]],#REF!,4,FALSE),"0")</f>
        <v>#REF!</v>
      </c>
      <c r="N34" s="1" t="e">
        <f>Table47[[#This Row],[FTE (%) 2026]]*Table47[[#This Row],[Hrs 2026]]*Table47[[#This Row],[Rate 2026]]</f>
        <v>#REF!</v>
      </c>
      <c r="O34" s="1" t="e">
        <f>Table47[[#This Row],[FTE (%) 2026]]*Table47[[#This Row],[Hrs 2026]]</f>
        <v>#REF!</v>
      </c>
      <c r="P34" s="1">
        <f>Table47[[#This Row],[Prognosis BP26]]</f>
        <v>200000</v>
      </c>
      <c r="Q34" s="1">
        <f>400000/2</f>
        <v>200000</v>
      </c>
      <c r="R34" s="1"/>
      <c r="T34" s="1" t="e">
        <f>Table47[[#This Row],[Prognosis BP26]]-Table47[[#This Row],[Personnel costs ]]</f>
        <v>#REF!</v>
      </c>
    </row>
    <row r="35" spans="1:20" s="6" customFormat="1" ht="15" customHeight="1">
      <c r="A35" s="6" t="s">
        <v>56</v>
      </c>
      <c r="B35" s="6" t="s">
        <v>371</v>
      </c>
      <c r="C35" s="6" t="s">
        <v>45</v>
      </c>
      <c r="D35" s="6" t="s">
        <v>174</v>
      </c>
      <c r="E35" s="6" t="s">
        <v>47</v>
      </c>
      <c r="F35" s="19" t="s">
        <v>54</v>
      </c>
      <c r="G35" t="s">
        <v>175</v>
      </c>
      <c r="H35" t="s">
        <v>417</v>
      </c>
      <c r="I35" t="s">
        <v>375</v>
      </c>
      <c r="J35" t="s">
        <v>418</v>
      </c>
      <c r="K35" s="13">
        <v>1</v>
      </c>
      <c r="L35" s="6" t="e">
        <f>_xlfn.IFNA(VLOOKUP(Table47[[#This Row],[Resource group]],#REF!,2,FALSE),"0")</f>
        <v>#REF!</v>
      </c>
      <c r="M35" s="8" t="e">
        <f>_xlfn.IFNA(VLOOKUP(Table47[[#This Row],[Resource group]],#REF!,4,FALSE),"0")</f>
        <v>#REF!</v>
      </c>
      <c r="N35" s="8" t="e">
        <f>Table47[[#This Row],[FTE (%) 2026]]*Table47[[#This Row],[Hrs 2026]]*Table47[[#This Row],[Rate 2026]]</f>
        <v>#REF!</v>
      </c>
      <c r="O35" s="33" t="e">
        <f>Table47[[#This Row],[FTE (%) 2026]]*Table47[[#This Row],[Hrs 2026]]</f>
        <v>#REF!</v>
      </c>
      <c r="P35" s="8">
        <f>Table47[[#This Row],[Prognosis BP26]]</f>
        <v>136028.67200000002</v>
      </c>
      <c r="Q35" s="1">
        <v>136028.67200000002</v>
      </c>
      <c r="R35" s="1">
        <v>184456.51686812271</v>
      </c>
      <c r="S35" t="s">
        <v>398</v>
      </c>
      <c r="T35" s="1" t="e">
        <f>Table47[[#This Row],[Prognosis BP26]]-Table47[[#This Row],[Personnel costs ]]</f>
        <v>#REF!</v>
      </c>
    </row>
    <row r="36" spans="1:20" ht="15" customHeight="1">
      <c r="A36" t="s">
        <v>76</v>
      </c>
      <c r="B36" s="6" t="s">
        <v>368</v>
      </c>
      <c r="C36" t="s">
        <v>39</v>
      </c>
      <c r="D36" t="s">
        <v>177</v>
      </c>
      <c r="E36" t="s">
        <v>65</v>
      </c>
      <c r="F36" s="10" t="s">
        <v>67</v>
      </c>
      <c r="G36" t="s">
        <v>353</v>
      </c>
      <c r="H36" t="s">
        <v>417</v>
      </c>
      <c r="I36" t="s">
        <v>373</v>
      </c>
      <c r="J36" t="s">
        <v>419</v>
      </c>
      <c r="K36" s="12">
        <v>1</v>
      </c>
      <c r="L36" t="e">
        <f>_xlfn.IFNA(VLOOKUP(Table47[[#This Row],[Resource group]],#REF!,2,FALSE),"0")</f>
        <v>#REF!</v>
      </c>
      <c r="M36" s="31">
        <v>52.53921568627451</v>
      </c>
      <c r="N36" s="1" t="e">
        <f>Table47[[#This Row],[FTE (%) 2026]]*Table47[[#This Row],[Hrs 2026]]*Table47[[#This Row],[Rate 2026]]</f>
        <v>#REF!</v>
      </c>
      <c r="O36" s="1" t="e">
        <f>Table47[[#This Row],[FTE (%) 2026]]*Table47[[#This Row],[Hrs 2026]]</f>
        <v>#REF!</v>
      </c>
      <c r="P36" s="1" t="e">
        <f>Table47[[#This Row],[Personnel costs ]]</f>
        <v>#REF!</v>
      </c>
      <c r="Q36" s="7">
        <v>150000</v>
      </c>
      <c r="R36" s="1"/>
      <c r="T36" s="1" t="e">
        <f>Table47[[#This Row],[Prognosis BP26]]-Table47[[#This Row],[Personnel costs ]]</f>
        <v>#REF!</v>
      </c>
    </row>
    <row r="37" spans="1:20" ht="15" customHeight="1">
      <c r="A37" t="s">
        <v>79</v>
      </c>
      <c r="B37" t="s">
        <v>368</v>
      </c>
      <c r="C37" t="s">
        <v>39</v>
      </c>
      <c r="D37" t="s">
        <v>182</v>
      </c>
      <c r="E37" t="s">
        <v>47</v>
      </c>
      <c r="F37" s="10" t="s">
        <v>54</v>
      </c>
      <c r="G37" t="s">
        <v>43</v>
      </c>
      <c r="H37" t="s">
        <v>420</v>
      </c>
      <c r="I37" t="s">
        <v>375</v>
      </c>
      <c r="K37" s="12" t="s">
        <v>78</v>
      </c>
      <c r="L37" t="e">
        <f>_xlfn.IFNA(VLOOKUP(Table47[[#This Row],[Resource group]],#REF!,2,FALSE),"0")</f>
        <v>#REF!</v>
      </c>
      <c r="M37" s="31" t="e">
        <f>_xlfn.IFNA(VLOOKUP(Table47[[#This Row],[Resource group]],#REF!,4,FALSE),"0")</f>
        <v>#REF!</v>
      </c>
      <c r="N37" s="1"/>
      <c r="O37" s="1" t="e">
        <f>Table47[[#This Row],[FTE (%) 2026]]*Table47[[#This Row],[Hrs 2026]]</f>
        <v>#VALUE!</v>
      </c>
      <c r="P37" s="1">
        <f>Table47[[#This Row],[Prognosis BP26]]</f>
        <v>50000</v>
      </c>
      <c r="Q37" s="1">
        <v>50000</v>
      </c>
      <c r="R37" s="1" t="e">
        <f>VLOOKUP(Table47[[#This Row],[Task name]],#REF!,5,FALSE)</f>
        <v>#REF!</v>
      </c>
      <c r="T37" s="1">
        <f>Table47[[#This Row],[Prognosis BP26]]-Table47[[#This Row],[Personnel costs ]]</f>
        <v>50000</v>
      </c>
    </row>
    <row r="38" spans="1:20" s="6" customFormat="1" ht="15" customHeight="1">
      <c r="A38" s="6" t="s">
        <v>76</v>
      </c>
      <c r="B38" s="6" t="s">
        <v>371</v>
      </c>
      <c r="C38" s="6" t="s">
        <v>45</v>
      </c>
      <c r="D38" s="6" t="s">
        <v>183</v>
      </c>
      <c r="E38" s="6" t="s">
        <v>65</v>
      </c>
      <c r="F38" s="19" t="s">
        <v>67</v>
      </c>
      <c r="G38" s="18" t="s">
        <v>184</v>
      </c>
      <c r="H38" t="s">
        <v>420</v>
      </c>
      <c r="I38" t="s">
        <v>375</v>
      </c>
      <c r="J38" t="s">
        <v>421</v>
      </c>
      <c r="K38" s="13">
        <v>1</v>
      </c>
      <c r="L38" s="6" t="e">
        <f>_xlfn.IFNA(VLOOKUP(Table47[[#This Row],[Resource group]],#REF!,2,FALSE),"0")</f>
        <v>#REF!</v>
      </c>
      <c r="M38" s="8" t="e">
        <f>_xlfn.IFNA(VLOOKUP(Table47[[#This Row],[Resource group]],#REF!,4,FALSE),"0")</f>
        <v>#REF!</v>
      </c>
      <c r="N38" s="8" t="e">
        <f>Table47[[#This Row],[FTE (%) 2026]]*Table47[[#This Row],[Hrs 2026]]*Table47[[#This Row],[Rate 2026]]</f>
        <v>#REF!</v>
      </c>
      <c r="O38" s="33" t="e">
        <f>Table47[[#This Row],[FTE (%) 2026]]*Table47[[#This Row],[Hrs 2026]]</f>
        <v>#REF!</v>
      </c>
      <c r="P38" s="8" t="e">
        <f>Table47[[#This Row],[Personnel costs ]]</f>
        <v>#REF!</v>
      </c>
      <c r="Q38" s="1">
        <v>60000</v>
      </c>
      <c r="R38" s="1" t="e">
        <f>VLOOKUP(Table47[[#This Row],[Task name]],#REF!,5,FALSE)</f>
        <v>#REF!</v>
      </c>
      <c r="S38"/>
      <c r="T38" s="1" t="e">
        <f>Table47[[#This Row],[Prognosis BP26]]-Table47[[#This Row],[Personnel costs ]]</f>
        <v>#REF!</v>
      </c>
    </row>
    <row r="39" spans="1:20" s="6" customFormat="1" ht="15" customHeight="1">
      <c r="A39" s="6" t="s">
        <v>76</v>
      </c>
      <c r="B39" s="6" t="s">
        <v>371</v>
      </c>
      <c r="C39" s="6" t="s">
        <v>45</v>
      </c>
      <c r="D39" s="6" t="s">
        <v>187</v>
      </c>
      <c r="E39" s="6" t="s">
        <v>72</v>
      </c>
      <c r="F39" s="19" t="s">
        <v>67</v>
      </c>
      <c r="G39" s="18" t="s">
        <v>188</v>
      </c>
      <c r="H39" t="s">
        <v>420</v>
      </c>
      <c r="I39" t="s">
        <v>375</v>
      </c>
      <c r="J39" s="5" t="s">
        <v>422</v>
      </c>
      <c r="K39" s="13">
        <v>1</v>
      </c>
      <c r="L39" s="6" t="e">
        <f>_xlfn.IFNA(VLOOKUP(Table47[[#This Row],[Resource group]],#REF!,2,FALSE),"0")</f>
        <v>#REF!</v>
      </c>
      <c r="M39" s="8" t="e">
        <f>_xlfn.IFNA(VLOOKUP(Table47[[#This Row],[Resource group]],#REF!,4,FALSE),"0")</f>
        <v>#REF!</v>
      </c>
      <c r="N39" s="8" t="e">
        <f>Table47[[#This Row],[FTE (%) 2026]]*Table47[[#This Row],[Hrs 2026]]*Table47[[#This Row],[Rate 2026]]</f>
        <v>#REF!</v>
      </c>
      <c r="O39" s="33" t="e">
        <f>Table47[[#This Row],[FTE (%) 2026]]*Table47[[#This Row],[Hrs 2026]]</f>
        <v>#REF!</v>
      </c>
      <c r="P39" s="8" t="e">
        <f>Table47[[#This Row],[Personnel costs ]]</f>
        <v>#REF!</v>
      </c>
      <c r="Q39" s="1">
        <v>54000</v>
      </c>
      <c r="R39" s="1" t="e">
        <f>VLOOKUP(Table47[[#This Row],[Task name]],#REF!,5,FALSE)</f>
        <v>#REF!</v>
      </c>
      <c r="S39"/>
      <c r="T39" s="1" t="e">
        <f>Table47[[#This Row],[Prognosis BP26]]-Table47[[#This Row],[Personnel costs ]]</f>
        <v>#REF!</v>
      </c>
    </row>
    <row r="40" spans="1:20" s="6" customFormat="1" ht="15" customHeight="1">
      <c r="A40" s="6" t="s">
        <v>76</v>
      </c>
      <c r="B40" s="6" t="s">
        <v>371</v>
      </c>
      <c r="C40" s="6" t="s">
        <v>45</v>
      </c>
      <c r="D40" s="6" t="s">
        <v>190</v>
      </c>
      <c r="E40" s="6" t="s">
        <v>65</v>
      </c>
      <c r="F40" s="19" t="s">
        <v>67</v>
      </c>
      <c r="G40" s="18" t="s">
        <v>358</v>
      </c>
      <c r="H40" t="s">
        <v>420</v>
      </c>
      <c r="I40" t="s">
        <v>375</v>
      </c>
      <c r="J40" s="5" t="s">
        <v>422</v>
      </c>
      <c r="K40" s="13">
        <v>2</v>
      </c>
      <c r="L40" s="6" t="e">
        <f>_xlfn.IFNA(VLOOKUP(Table47[[#This Row],[Resource group]],#REF!,2,FALSE),"0")</f>
        <v>#REF!</v>
      </c>
      <c r="M40" s="8" t="e">
        <f>_xlfn.IFNA(VLOOKUP(Table47[[#This Row],[Resource group]],#REF!,4,FALSE),"0")</f>
        <v>#REF!</v>
      </c>
      <c r="N40" s="8" t="e">
        <f>Table47[[#This Row],[FTE (%) 2026]]*Table47[[#This Row],[Hrs 2026]]*Table47[[#This Row],[Rate 2026]]</f>
        <v>#REF!</v>
      </c>
      <c r="O40" s="33" t="e">
        <f>Table47[[#This Row],[FTE (%) 2026]]*Table47[[#This Row],[Hrs 2026]]</f>
        <v>#REF!</v>
      </c>
      <c r="P40" s="8" t="e">
        <f>Table47[[#This Row],[Personnel costs ]]</f>
        <v>#REF!</v>
      </c>
      <c r="Q40" s="1">
        <v>190000</v>
      </c>
      <c r="R40" s="1" t="e">
        <f>VLOOKUP(Table47[[#This Row],[Task name]],#REF!,5,FALSE)</f>
        <v>#REF!</v>
      </c>
      <c r="S40"/>
      <c r="T40" s="1" t="e">
        <f>Table47[[#This Row],[Prognosis BP26]]-Table47[[#This Row],[Personnel costs ]]</f>
        <v>#REF!</v>
      </c>
    </row>
    <row r="41" spans="1:20" s="6" customFormat="1" ht="15" customHeight="1">
      <c r="A41" s="6" t="s">
        <v>76</v>
      </c>
      <c r="B41" s="6" t="s">
        <v>371</v>
      </c>
      <c r="C41" s="6" t="s">
        <v>45</v>
      </c>
      <c r="D41" s="6" t="s">
        <v>93</v>
      </c>
      <c r="E41" s="6" t="s">
        <v>135</v>
      </c>
      <c r="F41" s="19" t="s">
        <v>67</v>
      </c>
      <c r="G41" t="s">
        <v>193</v>
      </c>
      <c r="H41" t="s">
        <v>420</v>
      </c>
      <c r="I41" t="s">
        <v>423</v>
      </c>
      <c r="J41" s="5" t="s">
        <v>424</v>
      </c>
      <c r="K41" s="13">
        <v>1</v>
      </c>
      <c r="L41" s="6" t="e">
        <f>_xlfn.IFNA(VLOOKUP(Table47[[#This Row],[Resource group]],#REF!,2,FALSE),"0")</f>
        <v>#REF!</v>
      </c>
      <c r="M41" s="8">
        <v>140.29999999999998</v>
      </c>
      <c r="N41" s="8" t="e">
        <f>Table47[[#This Row],[FTE (%) 2026]]*Table47[[#This Row],[Hrs 2026]]*Table47[[#This Row],[Rate 2026]]</f>
        <v>#REF!</v>
      </c>
      <c r="O41" s="33" t="e">
        <f>Table47[[#This Row],[FTE (%) 2026]]*Table47[[#This Row],[Hrs 2026]]</f>
        <v>#REF!</v>
      </c>
      <c r="P41" s="8" t="e">
        <f>Table47[[#This Row],[Personnel costs ]]</f>
        <v>#REF!</v>
      </c>
      <c r="Q41" s="7">
        <f>201000/35*25</f>
        <v>143571.42857142858</v>
      </c>
      <c r="R41" s="1" t="e">
        <f>VLOOKUP(Table47[[#This Row],[Task name]],#REF!,5,FALSE)</f>
        <v>#REF!</v>
      </c>
      <c r="S41"/>
      <c r="T41" s="1" t="e">
        <f>Table47[[#This Row],[Prognosis BP26]]-Table47[[#This Row],[Personnel costs ]]</f>
        <v>#REF!</v>
      </c>
    </row>
    <row r="42" spans="1:20" ht="15" customHeight="1">
      <c r="A42" t="s">
        <v>76</v>
      </c>
      <c r="B42" t="s">
        <v>368</v>
      </c>
      <c r="C42" t="s">
        <v>39</v>
      </c>
      <c r="D42" t="s">
        <v>194</v>
      </c>
      <c r="E42" t="s">
        <v>116</v>
      </c>
      <c r="F42" s="10" t="s">
        <v>67</v>
      </c>
      <c r="G42" s="18" t="s">
        <v>195</v>
      </c>
      <c r="H42" t="s">
        <v>420</v>
      </c>
      <c r="I42" t="s">
        <v>375</v>
      </c>
      <c r="J42" t="s">
        <v>425</v>
      </c>
      <c r="K42" s="12">
        <v>1</v>
      </c>
      <c r="L42" t="e">
        <f>_xlfn.IFNA(VLOOKUP(Table47[[#This Row],[Resource group]],#REF!,2,FALSE),"0")</f>
        <v>#REF!</v>
      </c>
      <c r="M42" s="31">
        <v>148.50000000000003</v>
      </c>
      <c r="N42" s="1" t="e">
        <f>Table47[[#This Row],[FTE (%) 2026]]*Table47[[#This Row],[Hrs 2026]]*Table47[[#This Row],[Rate 2026]]</f>
        <v>#REF!</v>
      </c>
      <c r="O42" s="1" t="e">
        <f>Table47[[#This Row],[FTE (%) 2026]]*Table47[[#This Row],[Hrs 2026]]</f>
        <v>#REF!</v>
      </c>
      <c r="P42" s="1" t="e">
        <f>Table47[[#This Row],[Personnel costs ]]</f>
        <v>#REF!</v>
      </c>
      <c r="Q42" s="1">
        <v>163000</v>
      </c>
      <c r="R42" s="1" t="e">
        <f>VLOOKUP(Table47[[#This Row],[Task name]],#REF!,5,FALSE)</f>
        <v>#REF!</v>
      </c>
      <c r="T42" s="1" t="e">
        <f>Table47[[#This Row],[Prognosis BP26]]-Table47[[#This Row],[Personnel costs ]]</f>
        <v>#REF!</v>
      </c>
    </row>
    <row r="43" spans="1:20" s="6" customFormat="1" ht="15" customHeight="1">
      <c r="A43" s="6" t="s">
        <v>76</v>
      </c>
      <c r="B43" s="6" t="s">
        <v>371</v>
      </c>
      <c r="C43" s="6" t="s">
        <v>45</v>
      </c>
      <c r="D43" s="6" t="s">
        <v>196</v>
      </c>
      <c r="E43" s="6" t="s">
        <v>197</v>
      </c>
      <c r="F43" s="19" t="s">
        <v>67</v>
      </c>
      <c r="G43" t="s">
        <v>198</v>
      </c>
      <c r="H43" t="s">
        <v>420</v>
      </c>
      <c r="I43" t="s">
        <v>375</v>
      </c>
      <c r="J43" t="s">
        <v>394</v>
      </c>
      <c r="K43" s="13">
        <v>1</v>
      </c>
      <c r="L43" s="6" t="e">
        <f>_xlfn.IFNA(VLOOKUP(Table47[[#This Row],[Resource group]],#REF!,2,FALSE),"0")</f>
        <v>#REF!</v>
      </c>
      <c r="M43" s="8" t="e">
        <f>_xlfn.IFNA(VLOOKUP(Table47[[#This Row],[Resource group]],#REF!,4,FALSE),"0")</f>
        <v>#REF!</v>
      </c>
      <c r="N43" s="8" t="e">
        <f>Table47[[#This Row],[FTE (%) 2026]]*Table47[[#This Row],[Hrs 2026]]*Table47[[#This Row],[Rate 2026]]</f>
        <v>#REF!</v>
      </c>
      <c r="O43" s="33" t="e">
        <f>Table47[[#This Row],[FTE (%) 2026]]*Table47[[#This Row],[Hrs 2026]]</f>
        <v>#REF!</v>
      </c>
      <c r="P43" s="8" t="e">
        <f>Table47[[#This Row],[Personnel costs ]]</f>
        <v>#REF!</v>
      </c>
      <c r="Q43" s="1">
        <v>92000</v>
      </c>
      <c r="R43" s="1" t="e">
        <f>VLOOKUP(Table47[[#This Row],[Task name]],#REF!,5,FALSE)</f>
        <v>#REF!</v>
      </c>
      <c r="S43"/>
      <c r="T43" s="1" t="e">
        <f>Table47[[#This Row],[Prognosis BP26]]-Table47[[#This Row],[Personnel costs ]]</f>
        <v>#REF!</v>
      </c>
    </row>
    <row r="44" spans="1:20" s="6" customFormat="1" ht="15" customHeight="1">
      <c r="A44" s="6" t="s">
        <v>76</v>
      </c>
      <c r="B44" s="6" t="s">
        <v>371</v>
      </c>
      <c r="C44" s="6" t="s">
        <v>45</v>
      </c>
      <c r="D44" s="6" t="s">
        <v>200</v>
      </c>
      <c r="E44" s="6" t="s">
        <v>197</v>
      </c>
      <c r="F44" s="19" t="s">
        <v>67</v>
      </c>
      <c r="G44" t="s">
        <v>201</v>
      </c>
      <c r="H44" t="s">
        <v>420</v>
      </c>
      <c r="I44" t="s">
        <v>375</v>
      </c>
      <c r="J44" t="s">
        <v>394</v>
      </c>
      <c r="K44" s="13">
        <v>1</v>
      </c>
      <c r="L44" s="6" t="e">
        <f>_xlfn.IFNA(VLOOKUP(Table47[[#This Row],[Resource group]],#REF!,2,FALSE),"0")</f>
        <v>#REF!</v>
      </c>
      <c r="M44" s="8" t="e">
        <f>_xlfn.IFNA(VLOOKUP(Table47[[#This Row],[Resource group]],#REF!,4,FALSE),"0")</f>
        <v>#REF!</v>
      </c>
      <c r="N44" s="8" t="e">
        <f>Table47[[#This Row],[FTE (%) 2026]]*Table47[[#This Row],[Hrs 2026]]*Table47[[#This Row],[Rate 2026]]</f>
        <v>#REF!</v>
      </c>
      <c r="O44" s="33" t="e">
        <f>Table47[[#This Row],[FTE (%) 2026]]*Table47[[#This Row],[Hrs 2026]]</f>
        <v>#REF!</v>
      </c>
      <c r="P44" s="8" t="e">
        <f>Table47[[#This Row],[Personnel costs ]]</f>
        <v>#REF!</v>
      </c>
      <c r="Q44" s="1">
        <v>92000</v>
      </c>
      <c r="R44" s="1" t="e">
        <f>VLOOKUP(Table47[[#This Row],[Task name]],#REF!,5,FALSE)</f>
        <v>#REF!</v>
      </c>
      <c r="S44"/>
      <c r="T44" s="1" t="e">
        <f>Table47[[#This Row],[Prognosis BP26]]-Table47[[#This Row],[Personnel costs ]]</f>
        <v>#REF!</v>
      </c>
    </row>
    <row r="45" spans="1:20" s="6" customFormat="1" ht="15" customHeight="1">
      <c r="B45" s="6" t="s">
        <v>371</v>
      </c>
      <c r="C45" s="6" t="s">
        <v>45</v>
      </c>
      <c r="D45" s="6" t="s">
        <v>202</v>
      </c>
      <c r="E45" s="6" t="s">
        <v>47</v>
      </c>
      <c r="F45" s="19" t="s">
        <v>54</v>
      </c>
      <c r="G45"/>
      <c r="H45" t="s">
        <v>420</v>
      </c>
      <c r="I45" t="s">
        <v>373</v>
      </c>
      <c r="J45"/>
      <c r="K45" s="20"/>
      <c r="L45" s="6" t="e">
        <f>_xlfn.IFNA(VLOOKUP(Table47[[#This Row],[Resource group]],#REF!,2,FALSE),"0")</f>
        <v>#REF!</v>
      </c>
      <c r="M45" s="8" t="e">
        <f>_xlfn.IFNA(VLOOKUP(Table47[[#This Row],[Resource group]],#REF!,4,FALSE),"0")</f>
        <v>#REF!</v>
      </c>
      <c r="N45" s="8" t="e">
        <f>#REF!*Table47[[#This Row],[Hrs 2026]]*Table47[[#This Row],[Rate 2026]]</f>
        <v>#REF!</v>
      </c>
      <c r="O45" s="8" t="e">
        <f>Table47[[#This Row],[FTE (%) 2026]]*Table47[[#This Row],[Hrs 2026]]</f>
        <v>#REF!</v>
      </c>
      <c r="P45" s="8">
        <f>Table47[[#This Row],[Prognosis BP26]]</f>
        <v>150000</v>
      </c>
      <c r="Q45" s="1">
        <v>150000</v>
      </c>
      <c r="R45" s="1" t="e">
        <f>VLOOKUP(Table47[[#This Row],[Task name]],#REF!,5,FALSE)</f>
        <v>#REF!</v>
      </c>
      <c r="S45"/>
      <c r="T45" s="1" t="e">
        <f>Table47[[#This Row],[Prognosis BP26]]-Table47[[#This Row],[Personnel costs ]]</f>
        <v>#REF!</v>
      </c>
    </row>
    <row r="46" spans="1:20">
      <c r="A46" t="s">
        <v>206</v>
      </c>
      <c r="K46" s="1"/>
      <c r="N46" s="1" t="e">
        <f>SUBTOTAL(109,Table47[[Personnel costs ]])</f>
        <v>#REF!</v>
      </c>
      <c r="O46" s="1"/>
      <c r="P46" s="1" t="e">
        <f>SUBTOTAL(109,Table47[MCR (Plan input)])</f>
        <v>#REF!</v>
      </c>
      <c r="Q46" s="1">
        <f>SUBTOTAL(109,Table47[Prognosis BP26])</f>
        <v>8991817.1005714294</v>
      </c>
      <c r="R46" s="1" t="e">
        <f>SUBTOTAL(109,Table47[C-Hub CF09/2025  (before redistribution to Cust. Proj)])</f>
        <v>#REF!</v>
      </c>
    </row>
    <row r="47" spans="1:20">
      <c r="Q47" s="1"/>
    </row>
    <row r="48" spans="1:20">
      <c r="R48" s="1"/>
    </row>
    <row r="50" spans="4:4">
      <c r="D50" t="s">
        <v>426</v>
      </c>
    </row>
    <row r="51" spans="4:4">
      <c r="D51" t="s">
        <v>427</v>
      </c>
    </row>
    <row r="52" spans="4:4">
      <c r="D52" t="s">
        <v>428</v>
      </c>
    </row>
    <row r="53" spans="4:4">
      <c r="D53" t="s">
        <v>429</v>
      </c>
    </row>
    <row r="54" spans="4:4">
      <c r="D54" t="s">
        <v>430</v>
      </c>
    </row>
  </sheetData>
  <pageMargins left="0.7" right="0.7" top="0.75" bottom="0.75" header="0.3" footer="0.3"/>
  <pageSetup paperSize="9" orientation="portrait" r:id="rId1"/>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893FA-7F2D-4204-A5E9-750908E6266E}">
  <sheetPr codeName="Sheet15"/>
  <dimension ref="A1:I70"/>
  <sheetViews>
    <sheetView workbookViewId="0"/>
  </sheetViews>
  <sheetFormatPr defaultColWidth="9.109375" defaultRowHeight="14.4" outlineLevelCol="2"/>
  <cols>
    <col min="1" max="1" width="34" bestFit="1" customWidth="1" outlineLevel="1"/>
    <col min="2" max="2" width="66.109375" bestFit="1" customWidth="1"/>
    <col min="3" max="3" width="66.6640625" bestFit="1" customWidth="1"/>
    <col min="4" max="5" width="17.5546875" customWidth="1"/>
    <col min="6" max="6" width="14.88671875" style="10" customWidth="1" outlineLevel="2"/>
    <col min="7" max="7" width="38.88671875" customWidth="1" outlineLevel="2"/>
    <col min="8" max="8" width="9.88671875" customWidth="1" outlineLevel="1"/>
    <col min="9" max="9" width="11.6640625" bestFit="1" customWidth="1"/>
    <col min="10" max="10" width="34.5546875" customWidth="1"/>
    <col min="14" max="14" width="23.109375" bestFit="1" customWidth="1"/>
    <col min="15" max="15" width="20.88671875" bestFit="1" customWidth="1"/>
    <col min="16" max="16" width="20.109375" bestFit="1" customWidth="1"/>
    <col min="17" max="17" width="79.109375" bestFit="1" customWidth="1"/>
  </cols>
  <sheetData>
    <row r="1" spans="1:9">
      <c r="A1" t="s">
        <v>3</v>
      </c>
      <c r="B1" t="s">
        <v>5</v>
      </c>
      <c r="C1" s="3" t="s">
        <v>6</v>
      </c>
      <c r="D1" t="s">
        <v>350</v>
      </c>
      <c r="E1" t="s">
        <v>7</v>
      </c>
      <c r="F1" s="10" t="s">
        <v>8</v>
      </c>
      <c r="G1" t="s">
        <v>9</v>
      </c>
      <c r="H1" s="3" t="s">
        <v>351</v>
      </c>
      <c r="I1" s="29" t="s">
        <v>352</v>
      </c>
    </row>
    <row r="2" spans="1:9" ht="15" customHeight="1">
      <c r="A2" t="s">
        <v>39</v>
      </c>
      <c r="B2" t="s">
        <v>41</v>
      </c>
      <c r="C2" t="s">
        <v>42</v>
      </c>
      <c r="F2" s="10" t="s">
        <v>38</v>
      </c>
      <c r="G2" t="s">
        <v>43</v>
      </c>
      <c r="H2" s="43"/>
      <c r="I2" s="1">
        <v>-330000</v>
      </c>
    </row>
    <row r="3" spans="1:9" s="6" customFormat="1" ht="15" hidden="1" customHeight="1">
      <c r="A3" s="6" t="s">
        <v>45</v>
      </c>
      <c r="B3" s="6" t="s">
        <v>52</v>
      </c>
      <c r="C3" s="6" t="s">
        <v>47</v>
      </c>
      <c r="D3" s="6" t="s">
        <v>53</v>
      </c>
      <c r="E3" s="6" t="s">
        <v>53</v>
      </c>
      <c r="F3" s="19" t="s">
        <v>54</v>
      </c>
      <c r="G3" s="6" t="s">
        <v>55</v>
      </c>
      <c r="H3" s="20"/>
      <c r="I3" s="8">
        <v>0</v>
      </c>
    </row>
    <row r="4" spans="1:9" s="6" customFormat="1" ht="15" hidden="1" customHeight="1">
      <c r="A4" s="6" t="s">
        <v>45</v>
      </c>
      <c r="B4" s="6" t="s">
        <v>58</v>
      </c>
      <c r="C4" s="6" t="s">
        <v>47</v>
      </c>
      <c r="D4" s="6" t="s">
        <v>59</v>
      </c>
      <c r="E4" s="6" t="s">
        <v>59</v>
      </c>
      <c r="F4" s="19" t="s">
        <v>54</v>
      </c>
      <c r="G4" s="6" t="s">
        <v>60</v>
      </c>
      <c r="H4" s="13"/>
      <c r="I4" s="8">
        <v>202500</v>
      </c>
    </row>
    <row r="5" spans="1:9" s="6" customFormat="1" ht="15" hidden="1" customHeight="1">
      <c r="A5" s="6" t="s">
        <v>45</v>
      </c>
      <c r="B5" s="6" t="s">
        <v>64</v>
      </c>
      <c r="C5" s="6" t="s">
        <v>65</v>
      </c>
      <c r="D5" s="6" t="s">
        <v>66</v>
      </c>
      <c r="E5" s="6" t="s">
        <v>66</v>
      </c>
      <c r="F5" s="19" t="s">
        <v>67</v>
      </c>
      <c r="G5" s="6" t="s">
        <v>353</v>
      </c>
      <c r="H5" s="47">
        <v>1496</v>
      </c>
      <c r="I5" s="32">
        <v>78598.666666666672</v>
      </c>
    </row>
    <row r="6" spans="1:9" s="6" customFormat="1" ht="15" hidden="1" customHeight="1">
      <c r="A6" s="6" t="s">
        <v>45</v>
      </c>
      <c r="B6" s="6" t="s">
        <v>64</v>
      </c>
      <c r="C6" s="6" t="s">
        <v>72</v>
      </c>
      <c r="D6" s="6" t="s">
        <v>73</v>
      </c>
      <c r="E6" s="6" t="s">
        <v>73</v>
      </c>
      <c r="F6" s="19" t="s">
        <v>67</v>
      </c>
      <c r="G6" s="6" t="s">
        <v>74</v>
      </c>
      <c r="H6" s="48">
        <v>1871</v>
      </c>
      <c r="I6" s="8">
        <v>52469</v>
      </c>
    </row>
    <row r="7" spans="1:9" s="6" customFormat="1" ht="15" hidden="1" customHeight="1">
      <c r="A7" s="6" t="s">
        <v>45</v>
      </c>
      <c r="B7" s="6" t="s">
        <v>77</v>
      </c>
      <c r="C7" s="6" t="s">
        <v>47</v>
      </c>
      <c r="D7" s="6" t="s">
        <v>53</v>
      </c>
      <c r="E7" s="6" t="s">
        <v>53</v>
      </c>
      <c r="F7" s="19" t="s">
        <v>54</v>
      </c>
      <c r="G7" s="6" t="s">
        <v>43</v>
      </c>
      <c r="H7" s="13"/>
      <c r="I7" s="8">
        <v>0</v>
      </c>
    </row>
    <row r="8" spans="1:9" s="6" customFormat="1" ht="15" hidden="1" customHeight="1">
      <c r="A8" s="6" t="s">
        <v>45</v>
      </c>
      <c r="B8" s="6" t="s">
        <v>80</v>
      </c>
      <c r="C8" s="6" t="s">
        <v>47</v>
      </c>
      <c r="D8" s="6" t="s">
        <v>81</v>
      </c>
      <c r="E8" s="6" t="s">
        <v>81</v>
      </c>
      <c r="F8" s="19" t="s">
        <v>54</v>
      </c>
      <c r="G8" s="6" t="s">
        <v>43</v>
      </c>
      <c r="H8" s="13"/>
      <c r="I8" s="8">
        <v>0</v>
      </c>
    </row>
    <row r="9" spans="1:9" s="6" customFormat="1" ht="15" hidden="1" customHeight="1">
      <c r="A9" s="6" t="s">
        <v>45</v>
      </c>
      <c r="B9" s="6" t="s">
        <v>84</v>
      </c>
      <c r="C9" s="6" t="s">
        <v>85</v>
      </c>
      <c r="D9" s="6" t="s">
        <v>86</v>
      </c>
      <c r="E9" s="6" t="s">
        <v>86</v>
      </c>
      <c r="F9" s="19" t="s">
        <v>67</v>
      </c>
      <c r="H9" s="47">
        <v>3720</v>
      </c>
      <c r="I9" s="32">
        <v>423141.91304347821</v>
      </c>
    </row>
    <row r="10" spans="1:9" s="6" customFormat="1" ht="15" hidden="1" customHeight="1">
      <c r="A10" s="6" t="s">
        <v>45</v>
      </c>
      <c r="B10" s="6" t="s">
        <v>88</v>
      </c>
      <c r="C10" s="6" t="s">
        <v>47</v>
      </c>
      <c r="D10" s="6" t="s">
        <v>89</v>
      </c>
      <c r="E10" s="6" t="s">
        <v>89</v>
      </c>
      <c r="F10" s="19" t="s">
        <v>54</v>
      </c>
      <c r="G10" s="6" t="s">
        <v>43</v>
      </c>
      <c r="H10" s="13"/>
      <c r="I10" s="8">
        <v>370000</v>
      </c>
    </row>
    <row r="11" spans="1:9" s="6" customFormat="1" ht="15" hidden="1" customHeight="1">
      <c r="A11" s="6" t="s">
        <v>45</v>
      </c>
      <c r="B11" s="6" t="s">
        <v>93</v>
      </c>
      <c r="C11" s="6" t="s">
        <v>94</v>
      </c>
      <c r="D11" s="6" t="s">
        <v>53</v>
      </c>
      <c r="E11" s="6" t="s">
        <v>53</v>
      </c>
      <c r="F11" s="19" t="s">
        <v>67</v>
      </c>
      <c r="G11" s="6" t="s">
        <v>354</v>
      </c>
      <c r="H11" s="48">
        <v>721</v>
      </c>
      <c r="I11" s="8">
        <v>124588.8</v>
      </c>
    </row>
    <row r="12" spans="1:9" s="6" customFormat="1" ht="15" hidden="1" customHeight="1">
      <c r="A12" s="6" t="s">
        <v>45</v>
      </c>
      <c r="B12" s="6" t="s">
        <v>97</v>
      </c>
      <c r="C12" s="6" t="s">
        <v>65</v>
      </c>
      <c r="D12" s="6" t="s">
        <v>66</v>
      </c>
      <c r="E12" s="6" t="s">
        <v>66</v>
      </c>
      <c r="F12" s="19" t="s">
        <v>67</v>
      </c>
      <c r="G12" s="6" t="s">
        <v>355</v>
      </c>
      <c r="H12" s="48">
        <v>2244</v>
      </c>
      <c r="I12" s="8">
        <v>117898</v>
      </c>
    </row>
    <row r="13" spans="1:9" s="6" customFormat="1" ht="15" hidden="1" customHeight="1">
      <c r="A13" s="6" t="s">
        <v>45</v>
      </c>
      <c r="B13" s="6" t="s">
        <v>101</v>
      </c>
      <c r="C13" s="6" t="s">
        <v>102</v>
      </c>
      <c r="D13" s="6" t="s">
        <v>66</v>
      </c>
      <c r="E13" s="6" t="s">
        <v>66</v>
      </c>
      <c r="F13" s="19" t="s">
        <v>67</v>
      </c>
      <c r="G13" s="6" t="s">
        <v>103</v>
      </c>
      <c r="H13" s="48">
        <v>1550.0000000000002</v>
      </c>
      <c r="I13" s="8">
        <v>81435.784313725497</v>
      </c>
    </row>
    <row r="14" spans="1:9" s="6" customFormat="1" ht="15" hidden="1" customHeight="1">
      <c r="A14" s="6" t="s">
        <v>45</v>
      </c>
      <c r="B14" s="6" t="s">
        <v>107</v>
      </c>
      <c r="C14" s="6" t="s">
        <v>47</v>
      </c>
      <c r="D14" s="6" t="s">
        <v>108</v>
      </c>
      <c r="E14" s="6" t="s">
        <v>108</v>
      </c>
      <c r="F14" s="19" t="s">
        <v>109</v>
      </c>
      <c r="H14" s="13"/>
      <c r="I14" s="8">
        <v>50000</v>
      </c>
    </row>
    <row r="15" spans="1:9" s="6" customFormat="1" ht="15" hidden="1" customHeight="1">
      <c r="A15" s="6" t="s">
        <v>45</v>
      </c>
      <c r="B15" s="6" t="s">
        <v>113</v>
      </c>
      <c r="C15" s="6" t="s">
        <v>47</v>
      </c>
      <c r="D15" s="6" t="s">
        <v>108</v>
      </c>
      <c r="E15" s="6" t="s">
        <v>108</v>
      </c>
      <c r="F15" s="19" t="s">
        <v>109</v>
      </c>
      <c r="H15" s="13"/>
      <c r="I15" s="8">
        <v>50000</v>
      </c>
    </row>
    <row r="16" spans="1:9" ht="15" customHeight="1">
      <c r="A16" t="s">
        <v>39</v>
      </c>
      <c r="B16" t="s">
        <v>115</v>
      </c>
      <c r="C16" t="s">
        <v>116</v>
      </c>
      <c r="D16" t="s">
        <v>53</v>
      </c>
      <c r="E16" t="s">
        <v>53</v>
      </c>
      <c r="F16" s="10" t="s">
        <v>67</v>
      </c>
      <c r="G16" t="s">
        <v>117</v>
      </c>
      <c r="H16" s="45">
        <v>283.8</v>
      </c>
      <c r="I16" s="1">
        <v>42144.30000000001</v>
      </c>
    </row>
    <row r="17" spans="1:9" s="6" customFormat="1" ht="15" hidden="1" customHeight="1">
      <c r="A17" s="6" t="s">
        <v>45</v>
      </c>
      <c r="B17" s="6" t="s">
        <v>120</v>
      </c>
      <c r="C17" s="6" t="s">
        <v>72</v>
      </c>
      <c r="D17" s="6" t="s">
        <v>73</v>
      </c>
      <c r="E17" s="6" t="s">
        <v>73</v>
      </c>
      <c r="F17" s="19" t="s">
        <v>67</v>
      </c>
      <c r="G17" s="6" t="s">
        <v>121</v>
      </c>
      <c r="H17" s="48">
        <v>654.8499999999998</v>
      </c>
      <c r="I17" s="8">
        <v>18361.993999999995</v>
      </c>
    </row>
    <row r="18" spans="1:9" s="6" customFormat="1" ht="15" hidden="1" customHeight="1">
      <c r="A18" s="6" t="s">
        <v>45</v>
      </c>
      <c r="B18" s="6" t="s">
        <v>122</v>
      </c>
      <c r="C18" s="6" t="s">
        <v>65</v>
      </c>
      <c r="D18" s="6" t="s">
        <v>66</v>
      </c>
      <c r="E18" s="6" t="s">
        <v>73</v>
      </c>
      <c r="F18" s="19" t="s">
        <v>67</v>
      </c>
      <c r="G18" s="6" t="s">
        <v>356</v>
      </c>
      <c r="H18" s="48">
        <v>374</v>
      </c>
      <c r="I18" s="8">
        <v>19649.666666666668</v>
      </c>
    </row>
    <row r="19" spans="1:9" s="6" customFormat="1" ht="15" hidden="1" customHeight="1">
      <c r="A19" s="6" t="s">
        <v>45</v>
      </c>
      <c r="B19" s="6" t="s">
        <v>125</v>
      </c>
      <c r="C19" s="6" t="s">
        <v>126</v>
      </c>
      <c r="D19" s="6" t="s">
        <v>73</v>
      </c>
      <c r="E19" s="6" t="s">
        <v>73</v>
      </c>
      <c r="F19" s="19" t="s">
        <v>67</v>
      </c>
      <c r="G19" s="6" t="s">
        <v>127</v>
      </c>
      <c r="H19" s="48">
        <v>936</v>
      </c>
      <c r="I19" s="8">
        <v>19721.52</v>
      </c>
    </row>
    <row r="20" spans="1:9" s="6" customFormat="1" ht="15" hidden="1" customHeight="1">
      <c r="A20" s="6" t="s">
        <v>45</v>
      </c>
      <c r="B20" s="6" t="s">
        <v>129</v>
      </c>
      <c r="C20" s="6" t="s">
        <v>47</v>
      </c>
      <c r="D20" s="6" t="s">
        <v>130</v>
      </c>
      <c r="E20" s="6" t="s">
        <v>130</v>
      </c>
      <c r="F20" s="19" t="s">
        <v>54</v>
      </c>
      <c r="G20" s="6" t="s">
        <v>357</v>
      </c>
      <c r="H20" s="13"/>
      <c r="I20" s="8">
        <v>87000</v>
      </c>
    </row>
    <row r="21" spans="1:9" s="6" customFormat="1" ht="15" customHeight="1">
      <c r="A21" s="6" t="s">
        <v>39</v>
      </c>
      <c r="B21" s="6" t="s">
        <v>134</v>
      </c>
      <c r="C21" s="6" t="s">
        <v>135</v>
      </c>
      <c r="D21" s="6" t="s">
        <v>136</v>
      </c>
      <c r="E21" s="6" t="s">
        <v>136</v>
      </c>
      <c r="F21" s="19" t="s">
        <v>67</v>
      </c>
      <c r="G21" s="6" t="s">
        <v>137</v>
      </c>
      <c r="H21" s="48">
        <v>1617</v>
      </c>
      <c r="I21" s="8">
        <v>226865.10000000006</v>
      </c>
    </row>
    <row r="22" spans="1:9" s="6" customFormat="1" ht="15" hidden="1" customHeight="1">
      <c r="A22" s="6" t="s">
        <v>45</v>
      </c>
      <c r="B22" s="6" t="s">
        <v>139</v>
      </c>
      <c r="C22" s="6" t="s">
        <v>47</v>
      </c>
      <c r="D22" s="6" t="s">
        <v>130</v>
      </c>
      <c r="E22" s="6" t="s">
        <v>130</v>
      </c>
      <c r="F22" s="19" t="s">
        <v>54</v>
      </c>
      <c r="G22" s="6" t="s">
        <v>140</v>
      </c>
      <c r="H22" s="13"/>
      <c r="I22" s="8">
        <v>355125</v>
      </c>
    </row>
    <row r="23" spans="1:9" s="6" customFormat="1" ht="15" hidden="1" customHeight="1">
      <c r="A23" s="6" t="s">
        <v>45</v>
      </c>
      <c r="B23" s="6" t="s">
        <v>154</v>
      </c>
      <c r="C23" s="6" t="s">
        <v>47</v>
      </c>
      <c r="D23" s="6" t="s">
        <v>155</v>
      </c>
      <c r="E23" s="6" t="s">
        <v>155</v>
      </c>
      <c r="F23" s="19" t="s">
        <v>54</v>
      </c>
      <c r="G23" s="6" t="s">
        <v>43</v>
      </c>
      <c r="H23" s="13"/>
      <c r="I23" s="8">
        <v>98689.339383297905</v>
      </c>
    </row>
    <row r="24" spans="1:9" s="6" customFormat="1" ht="15" hidden="1" customHeight="1">
      <c r="A24" s="6" t="s">
        <v>45</v>
      </c>
      <c r="B24" s="6" t="s">
        <v>157</v>
      </c>
      <c r="C24" s="6" t="s">
        <v>47</v>
      </c>
      <c r="D24" s="6" t="s">
        <v>59</v>
      </c>
      <c r="E24" s="6" t="s">
        <v>59</v>
      </c>
      <c r="F24" s="19" t="s">
        <v>54</v>
      </c>
      <c r="G24" s="6" t="s">
        <v>43</v>
      </c>
      <c r="H24" s="13"/>
      <c r="I24" s="8">
        <v>80000</v>
      </c>
    </row>
    <row r="25" spans="1:9" s="6" customFormat="1" ht="15" hidden="1" customHeight="1">
      <c r="A25" s="6" t="s">
        <v>45</v>
      </c>
      <c r="B25" s="6" t="s">
        <v>161</v>
      </c>
      <c r="C25" s="6" t="s">
        <v>47</v>
      </c>
      <c r="D25" s="6" t="s">
        <v>108</v>
      </c>
      <c r="E25" s="6" t="s">
        <v>108</v>
      </c>
      <c r="F25" s="19" t="s">
        <v>54</v>
      </c>
      <c r="G25" s="6" t="s">
        <v>43</v>
      </c>
      <c r="H25" s="13"/>
      <c r="I25" s="8">
        <v>90000</v>
      </c>
    </row>
    <row r="26" spans="1:9" s="6" customFormat="1" ht="15" hidden="1" customHeight="1">
      <c r="A26" s="6" t="s">
        <v>45</v>
      </c>
      <c r="B26" s="6" t="s">
        <v>164</v>
      </c>
      <c r="C26" s="6" t="s">
        <v>47</v>
      </c>
      <c r="D26" s="6" t="s">
        <v>89</v>
      </c>
      <c r="E26" s="6" t="s">
        <v>89</v>
      </c>
      <c r="F26" s="19" t="s">
        <v>54</v>
      </c>
      <c r="G26" s="6" t="s">
        <v>165</v>
      </c>
      <c r="H26" s="20"/>
      <c r="I26" s="8">
        <v>180000</v>
      </c>
    </row>
    <row r="27" spans="1:9" s="6" customFormat="1" ht="15" hidden="1" customHeight="1">
      <c r="A27" s="6" t="s">
        <v>45</v>
      </c>
      <c r="B27" s="6" t="s">
        <v>169</v>
      </c>
      <c r="C27" s="6" t="s">
        <v>47</v>
      </c>
      <c r="D27" s="6" t="s">
        <v>89</v>
      </c>
      <c r="E27" s="6" t="s">
        <v>89</v>
      </c>
      <c r="F27" s="19" t="s">
        <v>54</v>
      </c>
      <c r="G27" s="6" t="s">
        <v>43</v>
      </c>
      <c r="H27" s="13"/>
      <c r="I27" s="8">
        <v>682500</v>
      </c>
    </row>
    <row r="28" spans="1:9" s="6" customFormat="1" ht="15" hidden="1" customHeight="1">
      <c r="A28" s="6" t="s">
        <v>45</v>
      </c>
      <c r="B28" s="6" t="s">
        <v>174</v>
      </c>
      <c r="C28" s="6" t="s">
        <v>47</v>
      </c>
      <c r="D28" s="6" t="s">
        <v>130</v>
      </c>
      <c r="E28" s="6" t="s">
        <v>130</v>
      </c>
      <c r="F28" s="19" t="s">
        <v>54</v>
      </c>
      <c r="G28" s="6" t="s">
        <v>175</v>
      </c>
      <c r="H28" s="13"/>
      <c r="I28" s="8">
        <v>136028.67200000002</v>
      </c>
    </row>
    <row r="29" spans="1:9" ht="15" customHeight="1">
      <c r="A29" t="s">
        <v>39</v>
      </c>
      <c r="B29" t="s">
        <v>177</v>
      </c>
      <c r="C29" t="s">
        <v>65</v>
      </c>
      <c r="D29" t="s">
        <v>66</v>
      </c>
      <c r="E29" t="s">
        <v>66</v>
      </c>
      <c r="F29" s="10" t="s">
        <v>67</v>
      </c>
      <c r="G29" t="s">
        <v>353</v>
      </c>
      <c r="H29" s="45">
        <v>1496</v>
      </c>
      <c r="I29" s="1">
        <v>78598.666666666672</v>
      </c>
    </row>
    <row r="30" spans="1:9" ht="15" hidden="1" customHeight="1">
      <c r="A30" t="s">
        <v>45</v>
      </c>
      <c r="B30" t="s">
        <v>179</v>
      </c>
      <c r="C30" t="s">
        <v>65</v>
      </c>
      <c r="D30" t="s">
        <v>66</v>
      </c>
      <c r="E30" t="s">
        <v>66</v>
      </c>
      <c r="F30" s="10" t="s">
        <v>67</v>
      </c>
      <c r="G30" t="s">
        <v>353</v>
      </c>
      <c r="H30" s="45">
        <v>748</v>
      </c>
      <c r="I30" s="1">
        <v>39299.333333333336</v>
      </c>
    </row>
    <row r="31" spans="1:9" ht="15" customHeight="1">
      <c r="A31" t="s">
        <v>39</v>
      </c>
      <c r="B31" t="s">
        <v>182</v>
      </c>
      <c r="C31" t="s">
        <v>47</v>
      </c>
      <c r="D31" t="s">
        <v>108</v>
      </c>
      <c r="E31" t="s">
        <v>108</v>
      </c>
      <c r="F31" s="10" t="s">
        <v>54</v>
      </c>
      <c r="G31" t="s">
        <v>43</v>
      </c>
      <c r="H31" s="43"/>
      <c r="I31" s="1">
        <v>20000</v>
      </c>
    </row>
    <row r="32" spans="1:9" s="6" customFormat="1" ht="15" hidden="1" customHeight="1">
      <c r="A32" s="6" t="s">
        <v>45</v>
      </c>
      <c r="B32" s="21" t="s">
        <v>183</v>
      </c>
      <c r="C32" s="6" t="s">
        <v>65</v>
      </c>
      <c r="D32" s="6" t="s">
        <v>66</v>
      </c>
      <c r="E32" s="6" t="s">
        <v>66</v>
      </c>
      <c r="F32" s="19" t="s">
        <v>67</v>
      </c>
      <c r="G32" s="6" t="s">
        <v>184</v>
      </c>
      <c r="H32" s="48">
        <v>1496</v>
      </c>
      <c r="I32" s="8">
        <v>78598.666666666672</v>
      </c>
    </row>
    <row r="33" spans="1:9" s="6" customFormat="1" ht="15" hidden="1" customHeight="1">
      <c r="A33" s="6" t="s">
        <v>45</v>
      </c>
      <c r="B33" s="6" t="s">
        <v>187</v>
      </c>
      <c r="C33" s="6" t="s">
        <v>72</v>
      </c>
      <c r="D33" s="6" t="s">
        <v>73</v>
      </c>
      <c r="E33" s="6" t="s">
        <v>73</v>
      </c>
      <c r="F33" s="19" t="s">
        <v>67</v>
      </c>
      <c r="G33" s="6" t="s">
        <v>188</v>
      </c>
      <c r="H33" s="48">
        <v>1871</v>
      </c>
      <c r="I33" s="8">
        <v>52462.84</v>
      </c>
    </row>
    <row r="34" spans="1:9" s="6" customFormat="1" ht="15" hidden="1" customHeight="1">
      <c r="A34" s="6" t="s">
        <v>45</v>
      </c>
      <c r="B34" s="6" t="s">
        <v>190</v>
      </c>
      <c r="C34" s="6" t="s">
        <v>65</v>
      </c>
      <c r="D34" s="6" t="s">
        <v>66</v>
      </c>
      <c r="E34" s="6" t="s">
        <v>66</v>
      </c>
      <c r="F34" s="19" t="s">
        <v>67</v>
      </c>
      <c r="G34" s="6" t="s">
        <v>358</v>
      </c>
      <c r="H34" s="48">
        <v>2992</v>
      </c>
      <c r="I34" s="8">
        <v>157197.33333333334</v>
      </c>
    </row>
    <row r="35" spans="1:9" s="6" customFormat="1" ht="15" hidden="1" customHeight="1">
      <c r="A35" s="6" t="s">
        <v>45</v>
      </c>
      <c r="B35" s="6" t="s">
        <v>93</v>
      </c>
      <c r="C35" s="6" t="s">
        <v>135</v>
      </c>
      <c r="D35" s="6" t="s">
        <v>136</v>
      </c>
      <c r="E35" s="6" t="s">
        <v>136</v>
      </c>
      <c r="F35" s="19" t="s">
        <v>67</v>
      </c>
      <c r="G35" s="6" t="s">
        <v>193</v>
      </c>
      <c r="H35" s="48">
        <v>511.65869056104253</v>
      </c>
      <c r="I35" s="8">
        <v>71785.71428571429</v>
      </c>
    </row>
    <row r="36" spans="1:9" ht="15" customHeight="1">
      <c r="A36" t="s">
        <v>39</v>
      </c>
      <c r="B36" t="s">
        <v>194</v>
      </c>
      <c r="C36" t="s">
        <v>116</v>
      </c>
      <c r="D36" t="s">
        <v>53</v>
      </c>
      <c r="E36" t="s">
        <v>53</v>
      </c>
      <c r="F36" s="10" t="s">
        <v>67</v>
      </c>
      <c r="G36" t="s">
        <v>195</v>
      </c>
      <c r="H36" s="45">
        <v>1419</v>
      </c>
      <c r="I36" s="1">
        <v>210721.50000000003</v>
      </c>
    </row>
    <row r="37" spans="1:9" s="6" customFormat="1" ht="15" hidden="1" customHeight="1">
      <c r="A37" s="6" t="s">
        <v>45</v>
      </c>
      <c r="B37" s="6" t="s">
        <v>196</v>
      </c>
      <c r="C37" s="6" t="s">
        <v>197</v>
      </c>
      <c r="D37" s="6" t="s">
        <v>66</v>
      </c>
      <c r="E37" s="6" t="s">
        <v>66</v>
      </c>
      <c r="F37" s="19" t="s">
        <v>67</v>
      </c>
      <c r="G37" s="6" t="s">
        <v>198</v>
      </c>
      <c r="H37" s="48">
        <v>1550</v>
      </c>
      <c r="I37" s="8">
        <v>81437</v>
      </c>
    </row>
    <row r="38" spans="1:9" s="6" customFormat="1" ht="15" hidden="1" customHeight="1">
      <c r="A38" s="6" t="s">
        <v>45</v>
      </c>
      <c r="B38" s="6" t="s">
        <v>200</v>
      </c>
      <c r="C38" s="6" t="s">
        <v>197</v>
      </c>
      <c r="D38" s="6" t="s">
        <v>66</v>
      </c>
      <c r="E38" s="6" t="s">
        <v>66</v>
      </c>
      <c r="F38" s="19" t="s">
        <v>67</v>
      </c>
      <c r="G38" s="6" t="s">
        <v>201</v>
      </c>
      <c r="H38" s="48">
        <v>1550</v>
      </c>
      <c r="I38" s="8">
        <v>81437</v>
      </c>
    </row>
    <row r="39" spans="1:9" s="6" customFormat="1" ht="15" hidden="1" customHeight="1">
      <c r="A39" s="6" t="s">
        <v>45</v>
      </c>
      <c r="B39" s="6" t="s">
        <v>202</v>
      </c>
      <c r="C39" s="6" t="s">
        <v>47</v>
      </c>
      <c r="D39" s="6" t="s">
        <v>108</v>
      </c>
      <c r="E39" s="6" t="s">
        <v>108</v>
      </c>
      <c r="F39" s="19" t="s">
        <v>54</v>
      </c>
      <c r="H39" s="20"/>
      <c r="I39" s="8">
        <v>0</v>
      </c>
    </row>
    <row r="40" spans="1:9" ht="15" hidden="1" customHeight="1">
      <c r="A40" t="s">
        <v>449</v>
      </c>
      <c r="B40" t="s">
        <v>52</v>
      </c>
      <c r="C40" t="s">
        <v>47</v>
      </c>
      <c r="D40" t="s">
        <v>53</v>
      </c>
      <c r="E40" t="s">
        <v>53</v>
      </c>
      <c r="F40" s="10" t="s">
        <v>54</v>
      </c>
      <c r="G40" t="s">
        <v>55</v>
      </c>
      <c r="H40" s="45"/>
      <c r="I40" s="1">
        <v>200000</v>
      </c>
    </row>
    <row r="41" spans="1:9" ht="15" hidden="1" customHeight="1">
      <c r="A41" t="s">
        <v>449</v>
      </c>
      <c r="B41" t="s">
        <v>58</v>
      </c>
      <c r="C41" t="s">
        <v>47</v>
      </c>
      <c r="D41" t="s">
        <v>59</v>
      </c>
      <c r="E41" t="s">
        <v>59</v>
      </c>
      <c r="F41" s="10" t="s">
        <v>54</v>
      </c>
      <c r="G41" t="s">
        <v>60</v>
      </c>
      <c r="H41" s="45"/>
      <c r="I41" s="1">
        <v>67500</v>
      </c>
    </row>
    <row r="42" spans="1:9" ht="15" hidden="1" customHeight="1">
      <c r="A42" t="s">
        <v>449</v>
      </c>
      <c r="B42" t="s">
        <v>84</v>
      </c>
      <c r="C42" t="s">
        <v>85</v>
      </c>
      <c r="D42" t="s">
        <v>86</v>
      </c>
      <c r="E42" t="s">
        <v>86</v>
      </c>
      <c r="F42" s="10" t="s">
        <v>67</v>
      </c>
      <c r="H42" s="45">
        <v>3720</v>
      </c>
      <c r="I42" s="1">
        <v>423141.91304347821</v>
      </c>
    </row>
    <row r="43" spans="1:9" ht="15" hidden="1" customHeight="1">
      <c r="A43" t="s">
        <v>449</v>
      </c>
      <c r="B43" t="s">
        <v>97</v>
      </c>
      <c r="C43" t="s">
        <v>65</v>
      </c>
      <c r="D43" t="s">
        <v>66</v>
      </c>
      <c r="E43" t="s">
        <v>66</v>
      </c>
      <c r="F43" s="10" t="s">
        <v>67</v>
      </c>
      <c r="G43" t="s">
        <v>360</v>
      </c>
      <c r="H43" s="45">
        <v>2244</v>
      </c>
      <c r="I43" s="1">
        <v>78598.666666666672</v>
      </c>
    </row>
    <row r="44" spans="1:9" ht="15" hidden="1" customHeight="1">
      <c r="A44" t="s">
        <v>449</v>
      </c>
      <c r="B44" t="s">
        <v>107</v>
      </c>
      <c r="C44" t="s">
        <v>47</v>
      </c>
      <c r="D44" t="s">
        <v>108</v>
      </c>
      <c r="E44" t="s">
        <v>108</v>
      </c>
      <c r="F44" s="10" t="s">
        <v>109</v>
      </c>
      <c r="H44" s="45"/>
      <c r="I44" s="1">
        <v>75000</v>
      </c>
    </row>
    <row r="45" spans="1:9" ht="15" hidden="1" customHeight="1">
      <c r="A45" t="s">
        <v>449</v>
      </c>
      <c r="B45" t="s">
        <v>113</v>
      </c>
      <c r="C45" t="s">
        <v>47</v>
      </c>
      <c r="D45" t="s">
        <v>108</v>
      </c>
      <c r="E45" t="s">
        <v>108</v>
      </c>
      <c r="F45" s="10" t="s">
        <v>109</v>
      </c>
      <c r="H45" s="45"/>
      <c r="I45" s="1">
        <v>75000</v>
      </c>
    </row>
    <row r="46" spans="1:9" ht="15" hidden="1" customHeight="1">
      <c r="A46" t="s">
        <v>449</v>
      </c>
      <c r="B46" t="s">
        <v>115</v>
      </c>
      <c r="C46" t="s">
        <v>116</v>
      </c>
      <c r="D46" t="s">
        <v>53</v>
      </c>
      <c r="E46" t="s">
        <v>53</v>
      </c>
      <c r="F46" s="10" t="s">
        <v>67</v>
      </c>
      <c r="G46" t="s">
        <v>117</v>
      </c>
      <c r="H46" s="45">
        <v>283.8</v>
      </c>
      <c r="I46" s="1">
        <v>42144.30000000001</v>
      </c>
    </row>
    <row r="47" spans="1:9" ht="15" hidden="1" customHeight="1">
      <c r="A47" t="s">
        <v>449</v>
      </c>
      <c r="B47" t="s">
        <v>151</v>
      </c>
      <c r="C47" t="s">
        <v>145</v>
      </c>
      <c r="D47" t="s">
        <v>146</v>
      </c>
      <c r="E47" t="s">
        <v>146</v>
      </c>
      <c r="F47" s="10" t="s">
        <v>54</v>
      </c>
      <c r="G47" t="s">
        <v>147</v>
      </c>
      <c r="H47" s="45"/>
      <c r="I47" s="1">
        <v>286993.91999999998</v>
      </c>
    </row>
    <row r="48" spans="1:9" ht="15" hidden="1" customHeight="1">
      <c r="A48" t="s">
        <v>449</v>
      </c>
      <c r="B48" t="s">
        <v>157</v>
      </c>
      <c r="C48" t="s">
        <v>47</v>
      </c>
      <c r="D48" t="s">
        <v>59</v>
      </c>
      <c r="E48" t="s">
        <v>59</v>
      </c>
      <c r="F48" s="10" t="s">
        <v>54</v>
      </c>
      <c r="G48" t="s">
        <v>43</v>
      </c>
      <c r="H48" s="45"/>
      <c r="I48" s="1">
        <v>70000</v>
      </c>
    </row>
    <row r="49" spans="1:9" ht="15" hidden="1" customHeight="1">
      <c r="A49" t="s">
        <v>449</v>
      </c>
      <c r="B49" t="s">
        <v>161</v>
      </c>
      <c r="C49" t="s">
        <v>47</v>
      </c>
      <c r="D49" t="s">
        <v>108</v>
      </c>
      <c r="E49" t="s">
        <v>108</v>
      </c>
      <c r="F49" s="10" t="s">
        <v>54</v>
      </c>
      <c r="G49" t="s">
        <v>43</v>
      </c>
      <c r="H49" s="45"/>
      <c r="I49" s="1">
        <v>270000</v>
      </c>
    </row>
    <row r="50" spans="1:9" ht="15" hidden="1" customHeight="1">
      <c r="A50" t="s">
        <v>449</v>
      </c>
      <c r="B50" t="s">
        <v>169</v>
      </c>
      <c r="C50" t="s">
        <v>47</v>
      </c>
      <c r="D50" t="s">
        <v>89</v>
      </c>
      <c r="E50" t="s">
        <v>89</v>
      </c>
      <c r="F50" s="10" t="s">
        <v>54</v>
      </c>
      <c r="G50" t="s">
        <v>43</v>
      </c>
      <c r="H50" s="45"/>
      <c r="I50" s="1">
        <v>292500</v>
      </c>
    </row>
    <row r="51" spans="1:9" ht="15" hidden="1" customHeight="1">
      <c r="A51" t="s">
        <v>449</v>
      </c>
      <c r="B51" t="s">
        <v>182</v>
      </c>
      <c r="C51" t="s">
        <v>47</v>
      </c>
      <c r="D51" t="s">
        <v>108</v>
      </c>
      <c r="E51" t="s">
        <v>108</v>
      </c>
      <c r="F51" s="10" t="s">
        <v>54</v>
      </c>
      <c r="G51" t="s">
        <v>43</v>
      </c>
      <c r="H51" s="45"/>
      <c r="I51" s="1">
        <v>30000</v>
      </c>
    </row>
    <row r="52" spans="1:9" ht="15" hidden="1" customHeight="1">
      <c r="A52" t="s">
        <v>449</v>
      </c>
      <c r="B52" t="s">
        <v>194</v>
      </c>
      <c r="C52" t="s">
        <v>116</v>
      </c>
      <c r="D52" t="s">
        <v>53</v>
      </c>
      <c r="E52" t="s">
        <v>53</v>
      </c>
      <c r="F52" s="10" t="s">
        <v>67</v>
      </c>
      <c r="G52" t="s">
        <v>195</v>
      </c>
      <c r="H52" s="45">
        <v>1419</v>
      </c>
      <c r="I52" s="1">
        <v>42144.30000000001</v>
      </c>
    </row>
    <row r="53" spans="1:9">
      <c r="H53" s="1"/>
      <c r="I53" s="1">
        <f>SUBTOTAL(109,Table42689[Amount])</f>
        <v>248329.56666666677</v>
      </c>
    </row>
    <row r="54" spans="1:9">
      <c r="I54" s="1">
        <f>Table42689[[#Totals],[Amount]]/1000</f>
        <v>248.32956666666678</v>
      </c>
    </row>
    <row r="57" spans="1:9">
      <c r="I57" s="27"/>
    </row>
    <row r="58" spans="1:9">
      <c r="I58" s="27"/>
    </row>
    <row r="59" spans="1:9">
      <c r="I59" s="27"/>
    </row>
    <row r="60" spans="1:9">
      <c r="I60" s="27"/>
    </row>
    <row r="61" spans="1:9">
      <c r="I61" s="27"/>
    </row>
    <row r="62" spans="1:9">
      <c r="I62" s="27"/>
    </row>
    <row r="63" spans="1:9">
      <c r="I63" s="27"/>
    </row>
    <row r="64" spans="1:9">
      <c r="I64" s="27"/>
    </row>
    <row r="65" spans="2:9">
      <c r="D65" s="30" t="s">
        <v>240</v>
      </c>
      <c r="E65" s="30" t="s">
        <v>450</v>
      </c>
      <c r="F65" s="30" t="s">
        <v>451</v>
      </c>
      <c r="G65" s="30" t="s">
        <v>450</v>
      </c>
      <c r="I65" s="27"/>
    </row>
    <row r="66" spans="2:9">
      <c r="B66">
        <v>5492624.6503595505</v>
      </c>
      <c r="D66" s="30" t="s">
        <v>452</v>
      </c>
      <c r="E66" s="54">
        <f>B66/1000000</f>
        <v>5.4926246503595504</v>
      </c>
      <c r="F66" s="55">
        <v>0.49</v>
      </c>
      <c r="G66" s="54">
        <f>E66*F66</f>
        <v>2.6913860786761798</v>
      </c>
      <c r="I66" s="27"/>
    </row>
    <row r="67" spans="2:9">
      <c r="B67">
        <v>5492624.6503595505</v>
      </c>
      <c r="D67" s="30" t="s">
        <v>453</v>
      </c>
      <c r="E67" s="54">
        <f>B67/1000000</f>
        <v>5.4926246503595504</v>
      </c>
      <c r="F67" s="55">
        <v>0.51</v>
      </c>
      <c r="G67" s="54">
        <f>E67*F67</f>
        <v>2.8012385716833705</v>
      </c>
      <c r="I67" s="27"/>
    </row>
    <row r="68" spans="2:9">
      <c r="I68" s="27"/>
    </row>
    <row r="69" spans="2:9">
      <c r="I69" s="2"/>
    </row>
    <row r="70" spans="2:9">
      <c r="I70" s="25"/>
    </row>
  </sheetData>
  <pageMargins left="0.7" right="0.7" top="0.75" bottom="0.75" header="0.3" footer="0.3"/>
  <drawing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FFFC8-9535-436F-BC02-FBC998D74069}">
  <sheetPr codeName="Sheet16"/>
  <dimension ref="A1:Q54"/>
  <sheetViews>
    <sheetView workbookViewId="0"/>
  </sheetViews>
  <sheetFormatPr defaultColWidth="9.109375" defaultRowHeight="14.4"/>
  <cols>
    <col min="1" max="1" width="23.33203125" customWidth="1"/>
    <col min="2" max="2" width="28.109375" customWidth="1"/>
    <col min="3" max="3" width="40.33203125" customWidth="1"/>
    <col min="4" max="4" width="39.109375" customWidth="1"/>
    <col min="5" max="5" width="14.88671875" style="10" customWidth="1"/>
    <col min="6" max="6" width="38.6640625" bestFit="1" customWidth="1"/>
    <col min="7" max="7" width="16.33203125" customWidth="1"/>
    <col min="8" max="8" width="14.5546875" bestFit="1" customWidth="1"/>
    <col min="9" max="9" width="41.33203125" customWidth="1"/>
    <col min="10" max="10" width="28.88671875" bestFit="1" customWidth="1"/>
    <col min="11" max="12" width="11.88671875" customWidth="1"/>
    <col min="13" max="13" width="17" customWidth="1"/>
    <col min="14" max="15" width="19.33203125" customWidth="1"/>
    <col min="16" max="16" width="17.88671875" customWidth="1"/>
    <col min="17" max="17" width="79.33203125" bestFit="1" customWidth="1"/>
    <col min="33" max="33" width="23.109375" bestFit="1" customWidth="1"/>
    <col min="34" max="34" width="20.6640625" bestFit="1" customWidth="1"/>
    <col min="35" max="35" width="20.109375" bestFit="1" customWidth="1"/>
    <col min="36" max="36" width="79.33203125" bestFit="1" customWidth="1"/>
  </cols>
  <sheetData>
    <row r="1" spans="1:17">
      <c r="A1" t="s">
        <v>1</v>
      </c>
      <c r="B1" t="s">
        <v>361</v>
      </c>
      <c r="C1" t="s">
        <v>5</v>
      </c>
      <c r="D1" t="s">
        <v>6</v>
      </c>
      <c r="E1" s="10" t="s">
        <v>8</v>
      </c>
      <c r="F1" t="s">
        <v>9</v>
      </c>
      <c r="G1" t="s">
        <v>362</v>
      </c>
      <c r="H1" t="s">
        <v>363</v>
      </c>
      <c r="I1" t="s">
        <v>364</v>
      </c>
      <c r="J1" s="3" t="s">
        <v>440</v>
      </c>
      <c r="K1" t="s">
        <v>441</v>
      </c>
      <c r="L1" t="s">
        <v>14</v>
      </c>
      <c r="M1" t="s">
        <v>15</v>
      </c>
      <c r="N1" s="3" t="s">
        <v>365</v>
      </c>
      <c r="O1" s="3" t="s">
        <v>454</v>
      </c>
      <c r="P1" s="11" t="s">
        <v>366</v>
      </c>
      <c r="Q1" s="3" t="s">
        <v>367</v>
      </c>
    </row>
    <row r="2" spans="1:17" ht="15" hidden="1" customHeight="1">
      <c r="A2" t="s">
        <v>38</v>
      </c>
      <c r="B2" t="s">
        <v>368</v>
      </c>
      <c r="C2" t="s">
        <v>41</v>
      </c>
      <c r="D2" t="s">
        <v>42</v>
      </c>
      <c r="E2" s="10" t="s">
        <v>38</v>
      </c>
      <c r="F2" t="s">
        <v>43</v>
      </c>
      <c r="G2" t="s">
        <v>369</v>
      </c>
      <c r="J2" s="12"/>
      <c r="K2" t="e">
        <f>_xlfn.IFNA(VLOOKUP(Table42[[#This Row],[Resource group]],#REF!,2,FALSE),"0")</f>
        <v>#REF!</v>
      </c>
      <c r="L2" s="1" t="e">
        <f>_xlfn.IFNA(VLOOKUP(Table42[[#This Row],[Resource group]],#REF!,4,FALSE),"0")</f>
        <v>#REF!</v>
      </c>
      <c r="M2" s="1" t="e">
        <f>Table42[[#This Row],[FTE (%) 2026]]*Table42[[#This Row],[Hrs 2026]]*Table42[[#This Row],[Rate 2026]]</f>
        <v>#REF!</v>
      </c>
      <c r="N2" s="1"/>
      <c r="O2" s="1">
        <f>Table42[[#This Row],[Prognosis BP26]]/1000</f>
        <v>0</v>
      </c>
      <c r="P2" s="1" t="e">
        <f>VLOOKUP(Table42[[#This Row],[Task name]],#REF!,5,FALSE)</f>
        <v>#REF!</v>
      </c>
    </row>
    <row r="3" spans="1:17" ht="15" hidden="1" customHeight="1">
      <c r="A3" t="s">
        <v>38</v>
      </c>
      <c r="B3" t="s">
        <v>370</v>
      </c>
      <c r="C3" t="s">
        <v>50</v>
      </c>
      <c r="D3" t="s">
        <v>42</v>
      </c>
      <c r="E3" s="10" t="s">
        <v>38</v>
      </c>
      <c r="F3" t="s">
        <v>43</v>
      </c>
      <c r="G3" t="s">
        <v>369</v>
      </c>
      <c r="J3" s="12"/>
      <c r="K3" t="e">
        <f>_xlfn.IFNA(VLOOKUP(Table42[[#This Row],[Resource group]],#REF!,2,FALSE),"0")</f>
        <v>#REF!</v>
      </c>
      <c r="L3" s="1" t="e">
        <f>_xlfn.IFNA(VLOOKUP(Table42[[#This Row],[Resource group]],#REF!,4,FALSE),"0")</f>
        <v>#REF!</v>
      </c>
      <c r="M3" s="1" t="e">
        <f>Table42[[#This Row],[FTE (%) 2026]]*Table42[[#This Row],[Hrs 2026]]*Table42[[#This Row],[Rate 2026]]</f>
        <v>#REF!</v>
      </c>
      <c r="N3" s="1"/>
      <c r="O3" s="1">
        <f>Table42[[#This Row],[Prognosis BP26]]/1000</f>
        <v>0</v>
      </c>
      <c r="P3" s="1" t="e">
        <f>VLOOKUP(Table42[[#This Row],[Task name]],#REF!,5,FALSE)</f>
        <v>#REF!</v>
      </c>
    </row>
    <row r="4" spans="1:17" s="6" customFormat="1" ht="15" hidden="1" customHeight="1">
      <c r="A4" s="6" t="s">
        <v>51</v>
      </c>
      <c r="B4" s="6" t="s">
        <v>371</v>
      </c>
      <c r="C4" s="6" t="s">
        <v>52</v>
      </c>
      <c r="D4" s="6" t="s">
        <v>47</v>
      </c>
      <c r="E4" s="19" t="s">
        <v>54</v>
      </c>
      <c r="F4" s="6" t="s">
        <v>55</v>
      </c>
      <c r="G4" s="6" t="s">
        <v>372</v>
      </c>
      <c r="H4" s="6" t="s">
        <v>373</v>
      </c>
      <c r="J4" s="20"/>
      <c r="K4" s="6" t="e">
        <f>_xlfn.IFNA(VLOOKUP(Table42[[#This Row],[Resource group]],#REF!,2,FALSE),"0")</f>
        <v>#REF!</v>
      </c>
      <c r="L4" s="8" t="e">
        <f>_xlfn.IFNA(VLOOKUP(Table42[[#This Row],[Resource group]],#REF!,4,FALSE),"0")</f>
        <v>#REF!</v>
      </c>
      <c r="M4" s="8" t="e">
        <f>Table42[[#This Row],[FTE (%) 2026]]*Table42[[#This Row],[Hrs 2026]]*Table42[[#This Row],[Rate 2026]]</f>
        <v>#REF!</v>
      </c>
      <c r="N4" s="8">
        <f>80000*10</f>
        <v>800000</v>
      </c>
      <c r="O4" s="8">
        <f>Table42[[#This Row],[Prognosis BP26]]/1000</f>
        <v>800</v>
      </c>
      <c r="P4" s="8"/>
    </row>
    <row r="5" spans="1:17" s="6" customFormat="1" ht="15" hidden="1" customHeight="1">
      <c r="A5" s="6" t="s">
        <v>56</v>
      </c>
      <c r="B5" s="6" t="s">
        <v>371</v>
      </c>
      <c r="C5" s="6" t="s">
        <v>58</v>
      </c>
      <c r="D5" s="6" t="s">
        <v>47</v>
      </c>
      <c r="E5" s="19" t="s">
        <v>54</v>
      </c>
      <c r="F5" s="6" t="s">
        <v>60</v>
      </c>
      <c r="G5" s="6" t="s">
        <v>374</v>
      </c>
      <c r="H5" s="6" t="s">
        <v>375</v>
      </c>
      <c r="I5" s="21" t="s">
        <v>376</v>
      </c>
      <c r="J5" s="13">
        <v>1</v>
      </c>
      <c r="K5" s="6" t="e">
        <f>_xlfn.IFNA(VLOOKUP(Table42[[#This Row],[Resource group]],#REF!,2,FALSE),"0")</f>
        <v>#REF!</v>
      </c>
      <c r="L5" s="8" t="e">
        <f>_xlfn.IFNA(VLOOKUP(Table42[[#This Row],[Resource group]],#REF!,4,FALSE),"0")</f>
        <v>#REF!</v>
      </c>
      <c r="M5" s="8" t="e">
        <f>Table42[[#This Row],[FTE (%) 2026]]*Table42[[#This Row],[Hrs 2026]]*Table42[[#This Row],[Rate 2026]]</f>
        <v>#REF!</v>
      </c>
      <c r="N5" s="8">
        <v>270000</v>
      </c>
      <c r="O5" s="8">
        <f>Table42[[#This Row],[Prognosis BP26]]/1000</f>
        <v>270</v>
      </c>
      <c r="P5" s="8" t="e">
        <f>VLOOKUP(Table42[[#This Row],[Task name]],#REF!,5,FALSE)</f>
        <v>#REF!</v>
      </c>
    </row>
    <row r="6" spans="1:17" s="6" customFormat="1" ht="15" hidden="1" customHeight="1">
      <c r="A6" s="6" t="s">
        <v>56</v>
      </c>
      <c r="B6" s="6" t="s">
        <v>371</v>
      </c>
      <c r="C6" s="6" t="s">
        <v>64</v>
      </c>
      <c r="D6" s="6" t="s">
        <v>72</v>
      </c>
      <c r="E6" s="19" t="s">
        <v>67</v>
      </c>
      <c r="F6" s="6" t="s">
        <v>444</v>
      </c>
      <c r="G6" s="6" t="s">
        <v>374</v>
      </c>
      <c r="H6" s="6" t="s">
        <v>373</v>
      </c>
      <c r="I6" s="6" t="s">
        <v>377</v>
      </c>
      <c r="J6" s="13">
        <v>1</v>
      </c>
      <c r="K6" s="6" t="e">
        <f>_xlfn.IFNA(VLOOKUP(Table42[[#This Row],[Resource group]],#REF!,2,FALSE),"0")</f>
        <v>#REF!</v>
      </c>
      <c r="L6" s="8" t="e">
        <f>_xlfn.IFNA(VLOOKUP(Table42[[#This Row],[Resource group]],#REF!,4,FALSE),"0")</f>
        <v>#REF!</v>
      </c>
      <c r="M6" s="8" t="e">
        <f>Table42[[#This Row],[FTE (%) 2026]]*Table42[[#This Row],[Hrs 2026]]*Table42[[#This Row],[Rate 2026]]</f>
        <v>#REF!</v>
      </c>
      <c r="N6" s="8">
        <v>150000</v>
      </c>
      <c r="O6" s="8">
        <f>Table42[[#This Row],[Prognosis BP26]]/1000</f>
        <v>150</v>
      </c>
      <c r="P6" s="8"/>
    </row>
    <row r="7" spans="1:17" s="6" customFormat="1" ht="15" hidden="1" customHeight="1">
      <c r="A7" s="6" t="s">
        <v>56</v>
      </c>
      <c r="B7" s="6" t="s">
        <v>371</v>
      </c>
      <c r="C7" s="6" t="s">
        <v>64</v>
      </c>
      <c r="D7" s="6" t="s">
        <v>72</v>
      </c>
      <c r="E7" s="19" t="s">
        <v>67</v>
      </c>
      <c r="F7" s="6" t="s">
        <v>74</v>
      </c>
      <c r="G7" s="6" t="s">
        <v>374</v>
      </c>
      <c r="H7" s="6" t="s">
        <v>375</v>
      </c>
      <c r="I7" s="6" t="s">
        <v>378</v>
      </c>
      <c r="J7" s="13">
        <v>1</v>
      </c>
      <c r="K7" s="6" t="e">
        <f>_xlfn.IFNA(VLOOKUP(Table42[[#This Row],[Resource group]],#REF!,2,FALSE),"0")</f>
        <v>#REF!</v>
      </c>
      <c r="L7" s="8" t="e">
        <f>_xlfn.IFNA(VLOOKUP(Table42[[#This Row],[Resource group]],#REF!,4,FALSE),"0")</f>
        <v>#REF!</v>
      </c>
      <c r="M7" s="8" t="e">
        <f>Table42[[#This Row],[FTE (%) 2026]]*Table42[[#This Row],[Hrs 2026]]*Table42[[#This Row],[Rate 2026]]</f>
        <v>#REF!</v>
      </c>
      <c r="N7" s="8">
        <v>54000</v>
      </c>
      <c r="O7" s="8">
        <f>Table42[[#This Row],[Prognosis BP26]]/1000</f>
        <v>54</v>
      </c>
      <c r="P7" s="8" t="e">
        <f>VLOOKUP(Table42[[#This Row],[Task name]],#REF!,5,FALSE)</f>
        <v>#REF!</v>
      </c>
    </row>
    <row r="8" spans="1:17" s="6" customFormat="1" ht="15" hidden="1" customHeight="1">
      <c r="A8" s="6" t="s">
        <v>76</v>
      </c>
      <c r="B8" s="6" t="s">
        <v>371</v>
      </c>
      <c r="C8" s="6" t="s">
        <v>77</v>
      </c>
      <c r="D8" s="6" t="s">
        <v>47</v>
      </c>
      <c r="E8" s="19" t="s">
        <v>54</v>
      </c>
      <c r="F8" s="6" t="s">
        <v>43</v>
      </c>
      <c r="G8" s="6" t="s">
        <v>374</v>
      </c>
      <c r="H8" s="6" t="s">
        <v>373</v>
      </c>
      <c r="I8" s="6" t="s">
        <v>379</v>
      </c>
      <c r="J8" s="13" t="s">
        <v>78</v>
      </c>
      <c r="K8" s="6" t="e">
        <f>_xlfn.IFNA(VLOOKUP(Table42[[#This Row],[Resource group]],#REF!,2,FALSE),"0")</f>
        <v>#REF!</v>
      </c>
      <c r="L8" s="8" t="e">
        <f>_xlfn.IFNA(VLOOKUP(Table42[[#This Row],[Resource group]],#REF!,4,FALSE),"0")</f>
        <v>#REF!</v>
      </c>
      <c r="M8" s="8"/>
      <c r="N8" s="8">
        <v>150000</v>
      </c>
      <c r="O8" s="8">
        <f>Table42[[#This Row],[Prognosis BP26]]/1000</f>
        <v>150</v>
      </c>
      <c r="P8" s="8" t="e">
        <f>VLOOKUP(Table42[[#This Row],[Task name]],#REF!,5,FALSE)</f>
        <v>#REF!</v>
      </c>
    </row>
    <row r="9" spans="1:17" s="6" customFormat="1" ht="15" hidden="1" customHeight="1">
      <c r="A9" s="6" t="s">
        <v>79</v>
      </c>
      <c r="B9" s="6" t="s">
        <v>371</v>
      </c>
      <c r="C9" s="6" t="s">
        <v>80</v>
      </c>
      <c r="D9" s="6" t="s">
        <v>47</v>
      </c>
      <c r="E9" s="19" t="s">
        <v>54</v>
      </c>
      <c r="F9" s="6" t="s">
        <v>43</v>
      </c>
      <c r="G9" s="6" t="s">
        <v>380</v>
      </c>
      <c r="H9" s="6" t="s">
        <v>375</v>
      </c>
      <c r="I9" s="6" t="s">
        <v>381</v>
      </c>
      <c r="J9" s="13" t="s">
        <v>78</v>
      </c>
      <c r="K9" s="6" t="e">
        <f>_xlfn.IFNA(VLOOKUP(Table42[[#This Row],[Resource group]],#REF!,2,FALSE),"0")</f>
        <v>#REF!</v>
      </c>
      <c r="L9" s="8" t="e">
        <f>_xlfn.IFNA(VLOOKUP(Table42[[#This Row],[Resource group]],#REF!,4,FALSE),"0")</f>
        <v>#REF!</v>
      </c>
      <c r="M9" s="8"/>
      <c r="N9" s="8">
        <v>67000</v>
      </c>
      <c r="O9" s="8">
        <f>Table42[[#This Row],[Prognosis BP26]]/1000</f>
        <v>67</v>
      </c>
      <c r="P9" s="8" t="e">
        <f>VLOOKUP(Table42[[#This Row],[Task name]],#REF!,5,FALSE)</f>
        <v>#REF!</v>
      </c>
    </row>
    <row r="10" spans="1:17" s="6" customFormat="1" ht="15" hidden="1" customHeight="1">
      <c r="A10" s="6" t="s">
        <v>82</v>
      </c>
      <c r="B10" s="6" t="s">
        <v>371</v>
      </c>
      <c r="C10" s="6" t="s">
        <v>84</v>
      </c>
      <c r="D10" s="6" t="s">
        <v>445</v>
      </c>
      <c r="E10" s="19" t="s">
        <v>67</v>
      </c>
      <c r="G10" s="6" t="s">
        <v>382</v>
      </c>
      <c r="H10" s="6" t="s">
        <v>383</v>
      </c>
      <c r="I10" s="6" t="s">
        <v>384</v>
      </c>
      <c r="J10" s="20" t="s">
        <v>446</v>
      </c>
      <c r="K10" s="6" t="e">
        <f>_xlfn.IFNA(VLOOKUP(Table42[[#This Row],[Resource group]],#REF!,2,FALSE),"0")</f>
        <v>#REF!</v>
      </c>
      <c r="L10" s="8" t="e">
        <f>_xlfn.IFNA(VLOOKUP(Table42[[#This Row],[Resource group]],#REF!,4,FALSE),"0")</f>
        <v>#REF!</v>
      </c>
      <c r="M10" s="8" t="e">
        <f>Table42[[#This Row],[FTE (%) 2026]]*Table42[[#This Row],[Hrs 2026]]*Table42[[#This Row],[Rate 2026]]</f>
        <v>#VALUE!</v>
      </c>
      <c r="N10" s="8">
        <v>790000</v>
      </c>
      <c r="O10" s="8">
        <f>Table42[[#This Row],[Prognosis BP26]]/1000</f>
        <v>790</v>
      </c>
      <c r="P10" s="8"/>
    </row>
    <row r="11" spans="1:17" s="6" customFormat="1" ht="15" hidden="1" customHeight="1">
      <c r="A11" s="6" t="s">
        <v>56</v>
      </c>
      <c r="B11" s="6" t="s">
        <v>371</v>
      </c>
      <c r="C11" s="6" t="s">
        <v>88</v>
      </c>
      <c r="D11" s="6" t="s">
        <v>47</v>
      </c>
      <c r="E11" s="19" t="s">
        <v>54</v>
      </c>
      <c r="F11" s="6" t="s">
        <v>43</v>
      </c>
      <c r="G11" s="6" t="s">
        <v>385</v>
      </c>
      <c r="H11" s="6" t="s">
        <v>375</v>
      </c>
      <c r="I11" s="6" t="s">
        <v>386</v>
      </c>
      <c r="J11" s="13" t="s">
        <v>90</v>
      </c>
      <c r="K11" s="6" t="e">
        <f>_xlfn.IFNA(VLOOKUP(Table42[[#This Row],[Resource group]],#REF!,2,FALSE),"0")</f>
        <v>#REF!</v>
      </c>
      <c r="L11" s="8" t="e">
        <f>_xlfn.IFNA(VLOOKUP(Table42[[#This Row],[Resource group]],#REF!,4,FALSE),"0")</f>
        <v>#REF!</v>
      </c>
      <c r="M11" s="8" t="e">
        <f>Table42[[#This Row],[FTE (%) 2026]]*Table42[[#This Row],[Hrs 2026]]*Table42[[#This Row],[Rate 2026]]</f>
        <v>#VALUE!</v>
      </c>
      <c r="N11" s="8">
        <v>400000</v>
      </c>
      <c r="O11" s="8">
        <f>Table42[[#This Row],[Prognosis BP26]]/1000</f>
        <v>400</v>
      </c>
      <c r="P11" s="8" t="e">
        <f>VLOOKUP(Table42[[#This Row],[Task name]],#REF!,5,FALSE)</f>
        <v>#REF!</v>
      </c>
    </row>
    <row r="12" spans="1:17" s="6" customFormat="1" ht="15" hidden="1" customHeight="1">
      <c r="A12" s="6" t="s">
        <v>76</v>
      </c>
      <c r="B12" s="6" t="s">
        <v>371</v>
      </c>
      <c r="C12" s="6" t="s">
        <v>93</v>
      </c>
      <c r="D12" s="6" t="s">
        <v>94</v>
      </c>
      <c r="E12" s="19" t="s">
        <v>67</v>
      </c>
      <c r="F12" s="6" t="s">
        <v>354</v>
      </c>
      <c r="G12" s="6" t="s">
        <v>385</v>
      </c>
      <c r="H12" s="6" t="s">
        <v>375</v>
      </c>
      <c r="I12" s="6" t="s">
        <v>387</v>
      </c>
      <c r="J12" s="13">
        <v>1</v>
      </c>
      <c r="K12" s="6" t="e">
        <f>_xlfn.IFNA(VLOOKUP(Table42[[#This Row],[Resource group]],#REF!,2,FALSE),"0")</f>
        <v>#REF!</v>
      </c>
      <c r="L12" s="8" t="e">
        <f>_xlfn.IFNA(VLOOKUP(Table42[[#This Row],[Resource group]],#REF!,4,FALSE),"0")</f>
        <v>#REF!</v>
      </c>
      <c r="M12" s="8" t="e">
        <f>Table42[[#This Row],[FTE (%) 2026]]*Table42[[#This Row],[Hrs 2026]]*Table42[[#This Row],[Rate 2026]]</f>
        <v>#REF!</v>
      </c>
      <c r="N12" s="8">
        <v>160000</v>
      </c>
      <c r="O12" s="8">
        <f>Table42[[#This Row],[Prognosis BP26]]/1000</f>
        <v>160</v>
      </c>
      <c r="P12" s="8"/>
    </row>
    <row r="13" spans="1:17" ht="15" customHeight="1">
      <c r="A13" t="s">
        <v>96</v>
      </c>
      <c r="B13" t="s">
        <v>368</v>
      </c>
      <c r="C13" t="s">
        <v>97</v>
      </c>
      <c r="D13" t="s">
        <v>116</v>
      </c>
      <c r="E13" s="10" t="s">
        <v>67</v>
      </c>
      <c r="F13" t="s">
        <v>447</v>
      </c>
      <c r="G13" t="s">
        <v>385</v>
      </c>
      <c r="H13" t="s">
        <v>375</v>
      </c>
      <c r="I13" t="s">
        <v>388</v>
      </c>
      <c r="J13" s="14">
        <v>1</v>
      </c>
      <c r="K13" t="e">
        <f>_xlfn.IFNA(VLOOKUP(Table42[[#This Row],[Resource group]],#REF!,2,FALSE),"0")</f>
        <v>#REF!</v>
      </c>
      <c r="L13" s="1" t="e">
        <f>_xlfn.IFNA(VLOOKUP(Table42[[#This Row],[Resource group]],#REF!,4,FALSE),"0")</f>
        <v>#REF!</v>
      </c>
      <c r="M13" s="1" t="e">
        <f>Table42[[#This Row],[FTE (%) 2026]]*Table42[[#This Row],[Hrs 2026]]*Table42[[#This Row],[Rate 2026]]</f>
        <v>#REF!</v>
      </c>
      <c r="N13" s="7">
        <v>178000</v>
      </c>
      <c r="O13" s="7">
        <f>Table42[[#This Row],[Prognosis BP26]]/1000</f>
        <v>178</v>
      </c>
      <c r="P13" s="1" t="e">
        <f>VLOOKUP(Table42[[#This Row],[Task name]],#REF!,5,FALSE)</f>
        <v>#REF!</v>
      </c>
    </row>
    <row r="14" spans="1:17" s="6" customFormat="1" ht="15" hidden="1" customHeight="1">
      <c r="A14" s="6" t="s">
        <v>96</v>
      </c>
      <c r="B14" s="6" t="s">
        <v>371</v>
      </c>
      <c r="C14" s="6" t="s">
        <v>101</v>
      </c>
      <c r="D14" s="6" t="s">
        <v>102</v>
      </c>
      <c r="E14" s="19" t="s">
        <v>67</v>
      </c>
      <c r="F14" s="6" t="s">
        <v>103</v>
      </c>
      <c r="G14" s="6" t="s">
        <v>385</v>
      </c>
      <c r="H14" s="6" t="s">
        <v>373</v>
      </c>
      <c r="I14" s="6" t="s">
        <v>389</v>
      </c>
      <c r="J14" s="13">
        <v>1</v>
      </c>
      <c r="K14" s="6">
        <v>1550</v>
      </c>
      <c r="L14" s="22">
        <v>52.539215686274503</v>
      </c>
      <c r="M14" s="8">
        <f>Table42[[#This Row],[FTE (%) 2026]]*Table42[[#This Row],[Hrs 2026]]*Table42[[#This Row],[Rate 2026]]</f>
        <v>81435.784313725482</v>
      </c>
      <c r="N14" s="8">
        <f>54000</f>
        <v>54000</v>
      </c>
      <c r="O14" s="8">
        <f>Table42[[#This Row],[Prognosis BP26]]/1000</f>
        <v>54</v>
      </c>
      <c r="P14" s="8" t="e">
        <f>VLOOKUP(Table42[[#This Row],[Task name]],#REF!,5,FALSE)</f>
        <v>#REF!</v>
      </c>
    </row>
    <row r="15" spans="1:17" s="6" customFormat="1" ht="15" hidden="1" customHeight="1">
      <c r="A15" s="6" t="s">
        <v>105</v>
      </c>
      <c r="B15" s="6" t="s">
        <v>371</v>
      </c>
      <c r="C15" s="6" t="s">
        <v>107</v>
      </c>
      <c r="D15" s="6" t="s">
        <v>47</v>
      </c>
      <c r="E15" s="19" t="s">
        <v>109</v>
      </c>
      <c r="G15" s="6" t="s">
        <v>385</v>
      </c>
      <c r="H15" s="6" t="s">
        <v>373</v>
      </c>
      <c r="J15" s="13" t="s">
        <v>110</v>
      </c>
      <c r="K15" s="6" t="e">
        <f>_xlfn.IFNA(VLOOKUP(Table42[[#This Row],[Resource group]],#REF!,2,FALSE),"0")</f>
        <v>#REF!</v>
      </c>
      <c r="L15" s="8" t="e">
        <f>_xlfn.IFNA(VLOOKUP(Table42[[#This Row],[Resource group]],#REF!,4,FALSE),"0")</f>
        <v>#REF!</v>
      </c>
      <c r="M15" s="8" t="e">
        <f>Table42[[#This Row],[FTE (%) 2026]]*Table42[[#This Row],[Hrs 2026]]*Table42[[#This Row],[Rate 2026]]</f>
        <v>#VALUE!</v>
      </c>
      <c r="N15" s="8">
        <v>150000</v>
      </c>
      <c r="O15" s="8">
        <f>Table42[[#This Row],[Prognosis BP26]]/1000</f>
        <v>150</v>
      </c>
      <c r="P15" s="8"/>
    </row>
    <row r="16" spans="1:17" s="6" customFormat="1" ht="15" hidden="1" customHeight="1">
      <c r="A16" s="6" t="s">
        <v>111</v>
      </c>
      <c r="B16" s="6" t="s">
        <v>371</v>
      </c>
      <c r="C16" s="6" t="s">
        <v>113</v>
      </c>
      <c r="D16" s="6" t="s">
        <v>47</v>
      </c>
      <c r="E16" s="19" t="s">
        <v>109</v>
      </c>
      <c r="G16" s="6" t="s">
        <v>385</v>
      </c>
      <c r="H16" s="6" t="s">
        <v>373</v>
      </c>
      <c r="J16" s="13" t="s">
        <v>110</v>
      </c>
      <c r="K16" s="6" t="e">
        <f>_xlfn.IFNA(VLOOKUP(Table42[[#This Row],[Resource group]],#REF!,2,FALSE),"0")</f>
        <v>#REF!</v>
      </c>
      <c r="L16" s="8" t="e">
        <f>_xlfn.IFNA(VLOOKUP(Table42[[#This Row],[Resource group]],#REF!,4,FALSE),"0")</f>
        <v>#REF!</v>
      </c>
      <c r="M16" s="8" t="e">
        <f>Table42[[#This Row],[FTE (%) 2026]]*Table42[[#This Row],[Hrs 2026]]*Table42[[#This Row],[Rate 2026]]</f>
        <v>#VALUE!</v>
      </c>
      <c r="N16" s="8">
        <v>150000</v>
      </c>
      <c r="O16" s="8">
        <f>Table42[[#This Row],[Prognosis BP26]]/1000</f>
        <v>150</v>
      </c>
      <c r="P16" s="8"/>
    </row>
    <row r="17" spans="1:17" ht="15" customHeight="1">
      <c r="A17" t="s">
        <v>96</v>
      </c>
      <c r="B17" t="s">
        <v>368</v>
      </c>
      <c r="C17" t="s">
        <v>115</v>
      </c>
      <c r="D17" t="s">
        <v>116</v>
      </c>
      <c r="E17" s="10" t="s">
        <v>67</v>
      </c>
      <c r="F17" t="s">
        <v>117</v>
      </c>
      <c r="G17" t="s">
        <v>390</v>
      </c>
      <c r="H17" t="s">
        <v>375</v>
      </c>
      <c r="I17" t="s">
        <v>391</v>
      </c>
      <c r="J17" s="12">
        <v>1</v>
      </c>
      <c r="K17" t="e">
        <f>_xlfn.IFNA(VLOOKUP(Table42[[#This Row],[Resource group]],#REF!,2,FALSE),"0")</f>
        <v>#REF!</v>
      </c>
      <c r="L17" s="1" t="e">
        <f>_xlfn.IFNA(VLOOKUP(Table42[[#This Row],[Resource group]],#REF!,4,FALSE),"0")</f>
        <v>#REF!</v>
      </c>
      <c r="M17" s="1" t="e">
        <f>Table42[[#This Row],[FTE (%) 2026]]*Table42[[#This Row],[Hrs 2026]]*Table42[[#This Row],[Rate 2026]]</f>
        <v>#REF!</v>
      </c>
      <c r="N17" s="1">
        <v>178000</v>
      </c>
      <c r="O17" s="1">
        <f>Table42[[#This Row],[Prognosis BP26]]/1000</f>
        <v>178</v>
      </c>
      <c r="P17" s="1">
        <v>36749</v>
      </c>
      <c r="Q17" t="s">
        <v>392</v>
      </c>
    </row>
    <row r="18" spans="1:17" s="6" customFormat="1" ht="15" hidden="1" customHeight="1">
      <c r="A18" s="6" t="s">
        <v>56</v>
      </c>
      <c r="B18" s="6" t="s">
        <v>371</v>
      </c>
      <c r="C18" s="6" t="s">
        <v>120</v>
      </c>
      <c r="D18" s="6" t="s">
        <v>72</v>
      </c>
      <c r="E18" s="19" t="s">
        <v>67</v>
      </c>
      <c r="F18" s="6" t="s">
        <v>121</v>
      </c>
      <c r="G18" s="6" t="s">
        <v>393</v>
      </c>
      <c r="H18" s="6" t="s">
        <v>375</v>
      </c>
      <c r="I18" s="6" t="s">
        <v>394</v>
      </c>
      <c r="J18" s="13">
        <v>0.35</v>
      </c>
      <c r="K18" s="6" t="e">
        <f>_xlfn.IFNA(VLOOKUP(Table42[[#This Row],[Resource group]],#REF!,2,FALSE),"0")</f>
        <v>#REF!</v>
      </c>
      <c r="L18" s="8" t="e">
        <f>_xlfn.IFNA(VLOOKUP(Table42[[#This Row],[Resource group]],#REF!,4,FALSE),"0")</f>
        <v>#REF!</v>
      </c>
      <c r="M18" s="8" t="e">
        <f>Table42[[#This Row],[FTE (%) 2026]]*Table42[[#This Row],[Hrs 2026]]*Table42[[#This Row],[Rate 2026]]</f>
        <v>#REF!</v>
      </c>
      <c r="N18" s="8">
        <v>18000</v>
      </c>
      <c r="O18" s="8">
        <f>Table42[[#This Row],[Prognosis BP26]]/1000</f>
        <v>18</v>
      </c>
      <c r="P18" s="8" t="e">
        <f>VLOOKUP(Table42[[#This Row],[Task name]],#REF!,5,FALSE)</f>
        <v>#REF!</v>
      </c>
    </row>
    <row r="19" spans="1:17" s="6" customFormat="1" ht="15" hidden="1" customHeight="1">
      <c r="A19" s="6" t="s">
        <v>56</v>
      </c>
      <c r="B19" s="6" t="s">
        <v>371</v>
      </c>
      <c r="C19" s="6" t="s">
        <v>122</v>
      </c>
      <c r="D19" s="6" t="s">
        <v>448</v>
      </c>
      <c r="E19" s="19" t="s">
        <v>67</v>
      </c>
      <c r="F19" s="6" t="s">
        <v>356</v>
      </c>
      <c r="G19" s="6" t="s">
        <v>393</v>
      </c>
      <c r="H19" s="6" t="s">
        <v>375</v>
      </c>
      <c r="I19" s="6" t="s">
        <v>395</v>
      </c>
      <c r="J19" s="13">
        <v>0.3</v>
      </c>
      <c r="K19" s="6" t="e">
        <f>_xlfn.IFNA(VLOOKUP(Table42[[#This Row],[Resource group]],#REF!,2,FALSE),"0")</f>
        <v>#REF!</v>
      </c>
      <c r="L19" s="8" t="e">
        <f>_xlfn.IFNA(VLOOKUP(Table42[[#This Row],[Resource group]],#REF!,4,FALSE),"0")</f>
        <v>#REF!</v>
      </c>
      <c r="M19" s="8" t="e">
        <f>Table42[[#This Row],[FTE (%) 2026]]*Table42[[#This Row],[Hrs 2026]]*Table42[[#This Row],[Rate 2026]]</f>
        <v>#REF!</v>
      </c>
      <c r="N19" s="8">
        <v>20000</v>
      </c>
      <c r="O19" s="8">
        <f>Table42[[#This Row],[Prognosis BP26]]/1000</f>
        <v>20</v>
      </c>
      <c r="P19" s="8" t="e">
        <f>VLOOKUP(Table42[[#This Row],[Task name]],#REF!,5,FALSE)</f>
        <v>#REF!</v>
      </c>
    </row>
    <row r="20" spans="1:17" s="6" customFormat="1" ht="15" hidden="1" customHeight="1">
      <c r="A20" s="6" t="s">
        <v>56</v>
      </c>
      <c r="B20" s="6" t="s">
        <v>371</v>
      </c>
      <c r="C20" s="6" t="s">
        <v>125</v>
      </c>
      <c r="D20" s="6" t="s">
        <v>126</v>
      </c>
      <c r="E20" s="19" t="s">
        <v>67</v>
      </c>
      <c r="F20" s="6" t="s">
        <v>127</v>
      </c>
      <c r="G20" s="6" t="s">
        <v>393</v>
      </c>
      <c r="H20" s="6" t="s">
        <v>375</v>
      </c>
      <c r="I20" s="6" t="s">
        <v>396</v>
      </c>
      <c r="J20" s="13">
        <v>0.5</v>
      </c>
      <c r="K20" s="6" t="e">
        <f>_xlfn.IFNA(VLOOKUP(Table42[[#This Row],[Resource group]],#REF!,2,FALSE),"0")</f>
        <v>#REF!</v>
      </c>
      <c r="L20" s="8" t="e">
        <f>_xlfn.IFNA(VLOOKUP(Table42[[#This Row],[Resource group]],#REF!,4,FALSE),"0")</f>
        <v>#REF!</v>
      </c>
      <c r="M20" s="8" t="e">
        <f>Table42[[#This Row],[FTE (%) 2026]]*Table42[[#This Row],[Hrs 2026]]*Table42[[#This Row],[Rate 2026]]</f>
        <v>#REF!</v>
      </c>
      <c r="N20" s="8">
        <v>20000</v>
      </c>
      <c r="O20" s="8">
        <f>Table42[[#This Row],[Prognosis BP26]]/1000</f>
        <v>20</v>
      </c>
      <c r="P20" s="8" t="e">
        <f>VLOOKUP(Table42[[#This Row],[Task name]],#REF!,5,FALSE)</f>
        <v>#REF!</v>
      </c>
    </row>
    <row r="21" spans="1:17" s="6" customFormat="1" ht="15" hidden="1" customHeight="1">
      <c r="A21" s="6" t="s">
        <v>76</v>
      </c>
      <c r="B21" s="6" t="s">
        <v>371</v>
      </c>
      <c r="C21" s="6" t="s">
        <v>129</v>
      </c>
      <c r="D21" s="6" t="s">
        <v>47</v>
      </c>
      <c r="E21" s="19" t="s">
        <v>54</v>
      </c>
      <c r="F21" s="6" t="s">
        <v>357</v>
      </c>
      <c r="G21" s="6" t="s">
        <v>393</v>
      </c>
      <c r="H21" s="6" t="s">
        <v>375</v>
      </c>
      <c r="I21" s="6" t="s">
        <v>397</v>
      </c>
      <c r="J21" s="13" t="s">
        <v>132</v>
      </c>
      <c r="K21" s="6" t="e">
        <f>_xlfn.IFNA(VLOOKUP(Table42[[#This Row],[Resource group]],#REF!,2,FALSE),"0")</f>
        <v>#REF!</v>
      </c>
      <c r="L21" s="8" t="e">
        <f>_xlfn.IFNA(VLOOKUP(Table42[[#This Row],[Resource group]],#REF!,4,FALSE),"0")</f>
        <v>#REF!</v>
      </c>
      <c r="M21" s="8" t="e">
        <f>Table42[[#This Row],[FTE (%) 2026]]*Table42[[#This Row],[Hrs 2026]]*Table42[[#This Row],[Rate 2026]]</f>
        <v>#VALUE!</v>
      </c>
      <c r="N21" s="8">
        <f>107474+8618</f>
        <v>116092</v>
      </c>
      <c r="O21" s="8">
        <f>Table42[[#This Row],[Prognosis BP26]]/1000</f>
        <v>116.092</v>
      </c>
      <c r="P21" s="8">
        <v>127254.49456740935</v>
      </c>
      <c r="Q21" s="6" t="s">
        <v>398</v>
      </c>
    </row>
    <row r="22" spans="1:17" ht="15" customHeight="1">
      <c r="A22" t="s">
        <v>76</v>
      </c>
      <c r="B22" s="6" t="s">
        <v>368</v>
      </c>
      <c r="C22" t="s">
        <v>134</v>
      </c>
      <c r="D22" t="s">
        <v>135</v>
      </c>
      <c r="E22" s="10" t="s">
        <v>67</v>
      </c>
      <c r="F22" t="s">
        <v>137</v>
      </c>
      <c r="G22" t="s">
        <v>393</v>
      </c>
      <c r="H22" t="s">
        <v>375</v>
      </c>
      <c r="I22" t="s">
        <v>399</v>
      </c>
      <c r="J22" s="12">
        <v>1</v>
      </c>
      <c r="K22" t="e">
        <f>_xlfn.IFNA(VLOOKUP(Table42[[#This Row],[Resource group]],#REF!,2,FALSE),"0")</f>
        <v>#REF!</v>
      </c>
      <c r="L22" s="1" t="e">
        <f>_xlfn.IFNA(VLOOKUP(Table42[[#This Row],[Resource group]],#REF!,4,FALSE),"0")</f>
        <v>#REF!</v>
      </c>
      <c r="M22" s="1" t="e">
        <f>Table42[[#This Row],[FTE (%) 2026]]*Table42[[#This Row],[Hrs 2026]]*Table42[[#This Row],[Rate 2026]]</f>
        <v>#REF!</v>
      </c>
      <c r="N22" s="1">
        <v>201000</v>
      </c>
      <c r="O22" s="1">
        <f>Table42[[#This Row],[Prognosis BP26]]/1000</f>
        <v>201</v>
      </c>
      <c r="P22" s="1">
        <v>248000</v>
      </c>
      <c r="Q22" t="s">
        <v>400</v>
      </c>
    </row>
    <row r="23" spans="1:17" s="6" customFormat="1" ht="15" hidden="1" customHeight="1">
      <c r="A23" s="6" t="s">
        <v>96</v>
      </c>
      <c r="B23" s="6" t="s">
        <v>371</v>
      </c>
      <c r="C23" s="6" t="s">
        <v>139</v>
      </c>
      <c r="D23" s="6" t="s">
        <v>47</v>
      </c>
      <c r="E23" s="19" t="s">
        <v>54</v>
      </c>
      <c r="F23" s="6" t="s">
        <v>140</v>
      </c>
      <c r="G23" s="6" t="s">
        <v>393</v>
      </c>
      <c r="H23" s="6" t="s">
        <v>375</v>
      </c>
      <c r="I23" s="6" t="s">
        <v>399</v>
      </c>
      <c r="J23" s="13" t="s">
        <v>78</v>
      </c>
      <c r="K23" s="6" t="e">
        <f>_xlfn.IFNA(VLOOKUP(Table42[[#This Row],[Resource group]],#REF!,2,FALSE),"0")</f>
        <v>#REF!</v>
      </c>
      <c r="L23" s="8" t="e">
        <f>_xlfn.IFNA(VLOOKUP(Table42[[#This Row],[Resource group]],#REF!,4,FALSE),"0")</f>
        <v>#REF!</v>
      </c>
      <c r="M23" s="8"/>
      <c r="N23" s="8">
        <v>355125</v>
      </c>
      <c r="O23" s="8">
        <f>Table42[[#This Row],[Prognosis BP26]]/1000</f>
        <v>355.125</v>
      </c>
      <c r="P23" s="8">
        <v>298288.98856446799</v>
      </c>
      <c r="Q23" s="6" t="s">
        <v>398</v>
      </c>
    </row>
    <row r="24" spans="1:17" ht="15" hidden="1" customHeight="1">
      <c r="A24" t="s">
        <v>141</v>
      </c>
      <c r="B24" t="s">
        <v>401</v>
      </c>
      <c r="C24" t="s">
        <v>144</v>
      </c>
      <c r="D24" t="s">
        <v>145</v>
      </c>
      <c r="E24" s="10" t="s">
        <v>54</v>
      </c>
      <c r="F24" t="s">
        <v>147</v>
      </c>
      <c r="G24" t="s">
        <v>402</v>
      </c>
      <c r="H24" t="s">
        <v>403</v>
      </c>
      <c r="I24" t="s">
        <v>404</v>
      </c>
      <c r="J24" s="12"/>
      <c r="K24" t="e">
        <f>_xlfn.IFNA(VLOOKUP(Table42[[#This Row],[Resource group]],#REF!,2,FALSE),"0")</f>
        <v>#REF!</v>
      </c>
      <c r="L24" s="1" t="e">
        <f>_xlfn.IFNA(VLOOKUP(Table42[[#This Row],[Resource group]],#REF!,4,FALSE),"0")</f>
        <v>#REF!</v>
      </c>
      <c r="M24" s="1" t="e">
        <f>Table42[[#This Row],[FTE (%) 2026]]*Table42[[#This Row],[Hrs 2026]]*Table42[[#This Row],[Rate 2026]]</f>
        <v>#REF!</v>
      </c>
      <c r="N24" s="1">
        <f>(1475000*0.85)/2</f>
        <v>626875</v>
      </c>
      <c r="O24" s="1">
        <f>Table42[[#This Row],[Prognosis BP26]]/1000</f>
        <v>626.875</v>
      </c>
      <c r="P24" s="1" t="e">
        <f>VLOOKUP(Table42[[#This Row],[Task name]],#REF!,5,FALSE)</f>
        <v>#REF!</v>
      </c>
      <c r="Q24" t="s">
        <v>405</v>
      </c>
    </row>
    <row r="25" spans="1:17" ht="15" hidden="1" customHeight="1">
      <c r="A25" t="s">
        <v>141</v>
      </c>
      <c r="B25" t="s">
        <v>406</v>
      </c>
      <c r="C25" t="s">
        <v>149</v>
      </c>
      <c r="D25" t="s">
        <v>145</v>
      </c>
      <c r="E25" s="10" t="s">
        <v>54</v>
      </c>
      <c r="F25" t="s">
        <v>147</v>
      </c>
      <c r="G25" t="s">
        <v>402</v>
      </c>
      <c r="H25" t="s">
        <v>403</v>
      </c>
      <c r="I25" t="s">
        <v>404</v>
      </c>
      <c r="J25" s="12"/>
      <c r="K25" t="e">
        <f>_xlfn.IFNA(VLOOKUP(Table42[[#This Row],[Resource group]],#REF!,2,FALSE),"0")</f>
        <v>#REF!</v>
      </c>
      <c r="L25" s="1" t="e">
        <f>_xlfn.IFNA(VLOOKUP(Table42[[#This Row],[Resource group]],#REF!,4,FALSE),"0")</f>
        <v>#REF!</v>
      </c>
      <c r="M25" s="1" t="e">
        <f>Table42[[#This Row],[FTE (%) 2026]]*Table42[[#This Row],[Hrs 2026]]*Table42[[#This Row],[Rate 2026]]</f>
        <v>#REF!</v>
      </c>
      <c r="N25" s="1">
        <f>(1475000*0.85)/2</f>
        <v>626875</v>
      </c>
      <c r="O25" s="1">
        <f>Table42[[#This Row],[Prognosis BP26]]/1000</f>
        <v>626.875</v>
      </c>
      <c r="P25" s="1" t="e">
        <f>VLOOKUP(Table42[[#This Row],[Task name]],#REF!,5,FALSE)</f>
        <v>#REF!</v>
      </c>
      <c r="Q25" t="s">
        <v>405</v>
      </c>
    </row>
    <row r="26" spans="1:17" ht="15" hidden="1" customHeight="1">
      <c r="A26" t="s">
        <v>141</v>
      </c>
      <c r="B26" t="s">
        <v>401</v>
      </c>
      <c r="C26" t="s">
        <v>151</v>
      </c>
      <c r="D26" t="s">
        <v>145</v>
      </c>
      <c r="E26" s="10" t="s">
        <v>54</v>
      </c>
      <c r="F26" t="s">
        <v>147</v>
      </c>
      <c r="G26" t="s">
        <v>402</v>
      </c>
      <c r="H26" t="s">
        <v>403</v>
      </c>
      <c r="I26" t="s">
        <v>407</v>
      </c>
      <c r="J26" s="12"/>
      <c r="K26" t="e">
        <f>_xlfn.IFNA(VLOOKUP(Table42[[#This Row],[Resource group]],#REF!,2,FALSE),"0")</f>
        <v>#REF!</v>
      </c>
      <c r="L26" s="1" t="e">
        <f>_xlfn.IFNA(VLOOKUP(Table42[[#This Row],[Resource group]],#REF!,4,FALSE),"0")</f>
        <v>#REF!</v>
      </c>
      <c r="M26" s="1" t="e">
        <f>Table42[[#This Row],[FTE (%) 2026]]*Table42[[#This Row],[Hrs 2026]]*Table42[[#This Row],[Rate 2026]]</f>
        <v>#REF!</v>
      </c>
      <c r="N26" s="1">
        <f>(1475000*0.15)/2</f>
        <v>110625</v>
      </c>
      <c r="O26" s="1">
        <f>Table42[[#This Row],[Prognosis BP26]]/1000</f>
        <v>110.625</v>
      </c>
      <c r="P26" s="1" t="e">
        <f>VLOOKUP(Table42[[#This Row],[Task name]],#REF!,5,FALSE)</f>
        <v>#REF!</v>
      </c>
      <c r="Q26" t="s">
        <v>405</v>
      </c>
    </row>
    <row r="27" spans="1:17" ht="15" hidden="1" customHeight="1">
      <c r="A27" t="s">
        <v>141</v>
      </c>
      <c r="B27" t="s">
        <v>406</v>
      </c>
      <c r="C27" t="s">
        <v>151</v>
      </c>
      <c r="D27" t="s">
        <v>145</v>
      </c>
      <c r="E27" s="10" t="s">
        <v>54</v>
      </c>
      <c r="F27" t="s">
        <v>147</v>
      </c>
      <c r="G27" t="s">
        <v>402</v>
      </c>
      <c r="H27" t="s">
        <v>403</v>
      </c>
      <c r="I27" t="s">
        <v>407</v>
      </c>
      <c r="J27" s="12"/>
      <c r="K27" t="e">
        <f>_xlfn.IFNA(VLOOKUP(Table42[[#This Row],[Resource group]],#REF!,2,FALSE),"0")</f>
        <v>#REF!</v>
      </c>
      <c r="L27" s="1" t="e">
        <f>_xlfn.IFNA(VLOOKUP(Table42[[#This Row],[Resource group]],#REF!,4,FALSE),"0")</f>
        <v>#REF!</v>
      </c>
      <c r="M27" s="1" t="e">
        <f>Table42[[#This Row],[FTE (%) 2026]]*Table42[[#This Row],[Hrs 2026]]*Table42[[#This Row],[Rate 2026]]</f>
        <v>#REF!</v>
      </c>
      <c r="N27" s="1">
        <f>(1475000*0.15)/2</f>
        <v>110625</v>
      </c>
      <c r="O27" s="1">
        <f>Table42[[#This Row],[Prognosis BP26]]/1000</f>
        <v>110.625</v>
      </c>
      <c r="P27" s="1" t="e">
        <f>VLOOKUP(Table42[[#This Row],[Task name]],#REF!,5,FALSE)</f>
        <v>#REF!</v>
      </c>
      <c r="Q27" t="s">
        <v>405</v>
      </c>
    </row>
    <row r="28" spans="1:17" s="6" customFormat="1" ht="15" hidden="1" customHeight="1">
      <c r="A28" s="6" t="s">
        <v>56</v>
      </c>
      <c r="B28" s="6" t="s">
        <v>371</v>
      </c>
      <c r="C28" s="6" t="s">
        <v>154</v>
      </c>
      <c r="D28" s="6" t="s">
        <v>47</v>
      </c>
      <c r="E28" s="19" t="s">
        <v>54</v>
      </c>
      <c r="F28" s="6" t="s">
        <v>43</v>
      </c>
      <c r="G28" s="6" t="s">
        <v>408</v>
      </c>
      <c r="H28" s="6" t="s">
        <v>375</v>
      </c>
      <c r="I28" s="6" t="s">
        <v>409</v>
      </c>
      <c r="J28" s="13">
        <v>1</v>
      </c>
      <c r="K28" s="6" t="e">
        <f>_xlfn.IFNA(VLOOKUP(Table42[[#This Row],[Resource group]],#REF!,2,FALSE),"0")</f>
        <v>#REF!</v>
      </c>
      <c r="L28" s="8" t="e">
        <f>_xlfn.IFNA(VLOOKUP(Table42[[#This Row],[Resource group]],#REF!,4,FALSE),"0")</f>
        <v>#REF!</v>
      </c>
      <c r="M28" s="8" t="e">
        <f>Table42[[#This Row],[FTE (%) 2026]]*Table42[[#This Row],[Hrs 2026]]*Table42[[#This Row],[Rate 2026]]</f>
        <v>#REF!</v>
      </c>
      <c r="N28" s="8">
        <v>130000</v>
      </c>
      <c r="O28" s="8">
        <f>Table42[[#This Row],[Prognosis BP26]]/1000</f>
        <v>130</v>
      </c>
      <c r="P28" s="8" t="e">
        <f>VLOOKUP(Table42[[#This Row],[Task name]],#REF!,5,FALSE)</f>
        <v>#REF!</v>
      </c>
    </row>
    <row r="29" spans="1:17" s="6" customFormat="1" ht="15" hidden="1" customHeight="1">
      <c r="A29" s="6" t="s">
        <v>56</v>
      </c>
      <c r="B29" s="6" t="s">
        <v>371</v>
      </c>
      <c r="C29" s="6" t="s">
        <v>157</v>
      </c>
      <c r="D29" s="6" t="s">
        <v>47</v>
      </c>
      <c r="E29" s="19" t="s">
        <v>54</v>
      </c>
      <c r="F29" s="6" t="s">
        <v>43</v>
      </c>
      <c r="G29" s="6" t="s">
        <v>408</v>
      </c>
      <c r="H29" s="23" t="s">
        <v>403</v>
      </c>
      <c r="I29" s="23" t="s">
        <v>410</v>
      </c>
      <c r="J29" s="13"/>
      <c r="K29" s="6" t="e">
        <f>_xlfn.IFNA(VLOOKUP(Table42[[#This Row],[Resource group]],#REF!,2,FALSE),"0")</f>
        <v>#REF!</v>
      </c>
      <c r="L29" s="8" t="e">
        <f>_xlfn.IFNA(VLOOKUP(Table42[[#This Row],[Resource group]],#REF!,4,FALSE),"0")</f>
        <v>#REF!</v>
      </c>
      <c r="M29" s="8" t="e">
        <f>Table42[[#This Row],[FTE (%) 2026]]*Table42[[#This Row],[Hrs 2026]]*Table42[[#This Row],[Rate 2026]]</f>
        <v>#REF!</v>
      </c>
      <c r="N29" s="8">
        <v>150000</v>
      </c>
      <c r="O29" s="8">
        <f>Table42[[#This Row],[Prognosis BP26]]/1000</f>
        <v>150</v>
      </c>
      <c r="P29" s="8" t="e">
        <f>VLOOKUP(Table42[[#This Row],[Task name]],#REF!,5,FALSE)</f>
        <v>#REF!</v>
      </c>
    </row>
    <row r="30" spans="1:17" s="6" customFormat="1" ht="15" hidden="1" customHeight="1">
      <c r="A30" s="6" t="s">
        <v>56</v>
      </c>
      <c r="B30" s="6" t="s">
        <v>371</v>
      </c>
      <c r="C30" s="6" t="s">
        <v>161</v>
      </c>
      <c r="D30" s="6" t="s">
        <v>47</v>
      </c>
      <c r="E30" s="19" t="s">
        <v>54</v>
      </c>
      <c r="F30" s="6" t="s">
        <v>43</v>
      </c>
      <c r="G30" s="6" t="s">
        <v>408</v>
      </c>
      <c r="H30" s="23" t="s">
        <v>403</v>
      </c>
      <c r="I30" s="23" t="s">
        <v>411</v>
      </c>
      <c r="J30" s="13" t="s">
        <v>78</v>
      </c>
      <c r="K30" s="6" t="e">
        <f>_xlfn.IFNA(VLOOKUP(Table42[[#This Row],[Resource group]],#REF!,2,FALSE),"0")</f>
        <v>#REF!</v>
      </c>
      <c r="L30" s="8" t="e">
        <f>_xlfn.IFNA(VLOOKUP(Table42[[#This Row],[Resource group]],#REF!,4,FALSE),"0")</f>
        <v>#REF!</v>
      </c>
      <c r="M30" s="8"/>
      <c r="N30" s="8">
        <v>150000</v>
      </c>
      <c r="O30" s="8">
        <f>Table42[[#This Row],[Prognosis BP26]]/1000</f>
        <v>150</v>
      </c>
      <c r="P30" s="8" t="e">
        <f>VLOOKUP(Table42[[#This Row],[Task name]],#REF!,5,FALSE)</f>
        <v>#REF!</v>
      </c>
    </row>
    <row r="31" spans="1:17" s="6" customFormat="1" ht="15" hidden="1" customHeight="1">
      <c r="A31" s="6" t="s">
        <v>56</v>
      </c>
      <c r="B31" s="6" t="s">
        <v>371</v>
      </c>
      <c r="C31" s="6" t="s">
        <v>164</v>
      </c>
      <c r="D31" s="6" t="s">
        <v>47</v>
      </c>
      <c r="E31" s="19" t="s">
        <v>54</v>
      </c>
      <c r="F31" s="6" t="s">
        <v>165</v>
      </c>
      <c r="G31" s="6" t="s">
        <v>408</v>
      </c>
      <c r="H31" s="6" t="s">
        <v>375</v>
      </c>
      <c r="I31" s="21" t="s">
        <v>412</v>
      </c>
      <c r="J31" s="20"/>
      <c r="K31" s="6" t="e">
        <f>_xlfn.IFNA(VLOOKUP(Table42[[#This Row],[Resource group]],#REF!,2,FALSE),"0")</f>
        <v>#REF!</v>
      </c>
      <c r="L31" s="8" t="e">
        <f>_xlfn.IFNA(VLOOKUP(Table42[[#This Row],[Resource group]],#REF!,4,FALSE),"0")</f>
        <v>#REF!</v>
      </c>
      <c r="M31" s="8" t="e">
        <f>Table42[[#This Row],[FTE (%) 2026]]*Table42[[#This Row],[Hrs 2026]]*Table42[[#This Row],[Rate 2026]]</f>
        <v>#REF!</v>
      </c>
      <c r="N31" s="8">
        <v>150000</v>
      </c>
      <c r="O31" s="8">
        <f>Table42[[#This Row],[Prognosis BP26]]/1000</f>
        <v>150</v>
      </c>
      <c r="P31" s="8"/>
    </row>
    <row r="32" spans="1:17" s="6" customFormat="1" ht="15" hidden="1" customHeight="1">
      <c r="A32" s="6" t="s">
        <v>56</v>
      </c>
      <c r="B32" s="6" t="s">
        <v>371</v>
      </c>
      <c r="C32" s="6" t="s">
        <v>169</v>
      </c>
      <c r="D32" s="6" t="s">
        <v>47</v>
      </c>
      <c r="E32" s="19" t="s">
        <v>54</v>
      </c>
      <c r="F32" s="6" t="s">
        <v>43</v>
      </c>
      <c r="G32" s="6" t="s">
        <v>413</v>
      </c>
      <c r="H32" s="6" t="s">
        <v>403</v>
      </c>
      <c r="I32" s="6" t="s">
        <v>414</v>
      </c>
      <c r="J32" s="13"/>
      <c r="K32" s="6" t="e">
        <f>_xlfn.IFNA(VLOOKUP(Table42[[#This Row],[Resource group]],#REF!,2,FALSE),"0")</f>
        <v>#REF!</v>
      </c>
      <c r="L32" s="8" t="e">
        <f>_xlfn.IFNA(VLOOKUP(Table42[[#This Row],[Resource group]],#REF!,4,FALSE),"0")</f>
        <v>#REF!</v>
      </c>
      <c r="M32" s="8" t="e">
        <f>Table42[[#This Row],[FTE (%) 2026]]*Table42[[#This Row],[Hrs 2026]]*Table42[[#This Row],[Rate 2026]]</f>
        <v>#REF!</v>
      </c>
      <c r="N32" s="8">
        <v>975000</v>
      </c>
      <c r="O32" s="8">
        <f>Table42[[#This Row],[Prognosis BP26]]/1000</f>
        <v>975</v>
      </c>
      <c r="P32" s="8" t="e">
        <f>VLOOKUP(Table42[[#This Row],[Task name]],#REF!,5,FALSE)</f>
        <v>#REF!</v>
      </c>
    </row>
    <row r="33" spans="1:17" ht="15" hidden="1" customHeight="1">
      <c r="A33" t="s">
        <v>141</v>
      </c>
      <c r="B33" t="s">
        <v>401</v>
      </c>
      <c r="C33" t="s">
        <v>171</v>
      </c>
      <c r="G33" t="s">
        <v>415</v>
      </c>
      <c r="H33" t="s">
        <v>373</v>
      </c>
      <c r="I33" t="s">
        <v>416</v>
      </c>
      <c r="J33" s="15"/>
      <c r="K33" t="e">
        <f>_xlfn.IFNA(VLOOKUP(Table42[[#This Row],[Resource group]],#REF!,2,FALSE),"0")</f>
        <v>#REF!</v>
      </c>
      <c r="L33" s="1" t="e">
        <f>_xlfn.IFNA(VLOOKUP(Table42[[#This Row],[Resource group]],#REF!,4,FALSE),"0")</f>
        <v>#REF!</v>
      </c>
      <c r="M33" s="1" t="e">
        <f>Table42[[#This Row],[FTE (%) 2026]]*Table42[[#This Row],[Hrs 2026]]*Table42[[#This Row],[Rate 2026]]</f>
        <v>#REF!</v>
      </c>
      <c r="N33" s="1">
        <f>400000/2</f>
        <v>200000</v>
      </c>
      <c r="O33" s="1">
        <f>Table42[[#This Row],[Prognosis BP26]]/1000</f>
        <v>200</v>
      </c>
      <c r="P33" s="1"/>
    </row>
    <row r="34" spans="1:17" ht="15" hidden="1" customHeight="1">
      <c r="A34" t="s">
        <v>141</v>
      </c>
      <c r="B34" t="s">
        <v>406</v>
      </c>
      <c r="C34" t="s">
        <v>171</v>
      </c>
      <c r="G34" t="s">
        <v>415</v>
      </c>
      <c r="H34" t="s">
        <v>373</v>
      </c>
      <c r="I34" t="s">
        <v>416</v>
      </c>
      <c r="J34" s="15"/>
      <c r="K34" t="e">
        <f>_xlfn.IFNA(VLOOKUP(Table42[[#This Row],[Resource group]],#REF!,2,FALSE),"0")</f>
        <v>#REF!</v>
      </c>
      <c r="L34" s="1" t="e">
        <f>_xlfn.IFNA(VLOOKUP(Table42[[#This Row],[Resource group]],#REF!,4,FALSE),"0")</f>
        <v>#REF!</v>
      </c>
      <c r="M34" s="1" t="e">
        <f>Table42[[#This Row],[FTE (%) 2026]]*Table42[[#This Row],[Hrs 2026]]*Table42[[#This Row],[Rate 2026]]</f>
        <v>#REF!</v>
      </c>
      <c r="N34" s="1">
        <f>400000/2</f>
        <v>200000</v>
      </c>
      <c r="O34" s="1">
        <f>Table42[[#This Row],[Prognosis BP26]]/1000</f>
        <v>200</v>
      </c>
      <c r="P34" s="1"/>
    </row>
    <row r="35" spans="1:17" s="6" customFormat="1" ht="15" hidden="1" customHeight="1">
      <c r="A35" s="6" t="s">
        <v>56</v>
      </c>
      <c r="B35" s="6" t="s">
        <v>371</v>
      </c>
      <c r="C35" s="6" t="s">
        <v>174</v>
      </c>
      <c r="D35" s="6" t="s">
        <v>47</v>
      </c>
      <c r="E35" s="19" t="s">
        <v>54</v>
      </c>
      <c r="F35" s="6" t="s">
        <v>175</v>
      </c>
      <c r="G35" s="6" t="s">
        <v>417</v>
      </c>
      <c r="H35" s="6" t="s">
        <v>375</v>
      </c>
      <c r="I35" s="6" t="s">
        <v>418</v>
      </c>
      <c r="J35" s="13">
        <v>1</v>
      </c>
      <c r="K35" s="6" t="e">
        <f>_xlfn.IFNA(VLOOKUP(Table42[[#This Row],[Resource group]],#REF!,2,FALSE),"0")</f>
        <v>#REF!</v>
      </c>
      <c r="L35" s="8" t="e">
        <f>_xlfn.IFNA(VLOOKUP(Table42[[#This Row],[Resource group]],#REF!,4,FALSE),"0")</f>
        <v>#REF!</v>
      </c>
      <c r="M35" s="8" t="e">
        <f>Table42[[#This Row],[FTE (%) 2026]]*Table42[[#This Row],[Hrs 2026]]*Table42[[#This Row],[Rate 2026]]</f>
        <v>#REF!</v>
      </c>
      <c r="N35" s="8">
        <v>136028.67200000002</v>
      </c>
      <c r="O35" s="8">
        <f>Table42[[#This Row],[Prognosis BP26]]/1000</f>
        <v>136.02867200000003</v>
      </c>
      <c r="P35" s="8">
        <v>184456.51686812271</v>
      </c>
      <c r="Q35" s="6" t="s">
        <v>398</v>
      </c>
    </row>
    <row r="36" spans="1:17" ht="15" customHeight="1">
      <c r="A36" t="s">
        <v>76</v>
      </c>
      <c r="B36" s="6" t="s">
        <v>368</v>
      </c>
      <c r="C36" t="s">
        <v>177</v>
      </c>
      <c r="D36" t="s">
        <v>65</v>
      </c>
      <c r="E36" s="10" t="s">
        <v>67</v>
      </c>
      <c r="F36" t="s">
        <v>353</v>
      </c>
      <c r="G36" t="s">
        <v>417</v>
      </c>
      <c r="H36" t="s">
        <v>373</v>
      </c>
      <c r="I36" t="s">
        <v>419</v>
      </c>
      <c r="J36" s="12">
        <v>1</v>
      </c>
      <c r="K36" t="e">
        <f>_xlfn.IFNA(VLOOKUP(Table42[[#This Row],[Resource group]],#REF!,2,FALSE),"0")</f>
        <v>#REF!</v>
      </c>
      <c r="L36" s="1" t="e">
        <f>_xlfn.IFNA(VLOOKUP(Table42[[#This Row],[Resource group]],#REF!,4,FALSE),"0")</f>
        <v>#REF!</v>
      </c>
      <c r="M36" s="1" t="e">
        <f>Table42[[#This Row],[FTE (%) 2026]]*Table42[[#This Row],[Hrs 2026]]*Table42[[#This Row],[Rate 2026]]</f>
        <v>#REF!</v>
      </c>
      <c r="N36" s="7">
        <v>150000</v>
      </c>
      <c r="O36" s="7">
        <f>Table42[[#This Row],[Prognosis BP26]]/1000</f>
        <v>150</v>
      </c>
      <c r="P36" s="1"/>
    </row>
    <row r="37" spans="1:17" ht="15" customHeight="1">
      <c r="A37" t="s">
        <v>79</v>
      </c>
      <c r="B37" t="s">
        <v>368</v>
      </c>
      <c r="C37" t="s">
        <v>182</v>
      </c>
      <c r="D37" t="s">
        <v>47</v>
      </c>
      <c r="E37" s="10" t="s">
        <v>54</v>
      </c>
      <c r="F37" t="s">
        <v>43</v>
      </c>
      <c r="G37" t="s">
        <v>420</v>
      </c>
      <c r="H37" t="s">
        <v>375</v>
      </c>
      <c r="J37" s="12" t="s">
        <v>78</v>
      </c>
      <c r="K37" t="e">
        <f>_xlfn.IFNA(VLOOKUP(Table42[[#This Row],[Resource group]],#REF!,2,FALSE),"0")</f>
        <v>#REF!</v>
      </c>
      <c r="L37" s="1" t="e">
        <f>_xlfn.IFNA(VLOOKUP(Table42[[#This Row],[Resource group]],#REF!,4,FALSE),"0")</f>
        <v>#REF!</v>
      </c>
      <c r="M37" s="1"/>
      <c r="N37" s="1">
        <v>50000</v>
      </c>
      <c r="O37" s="1">
        <f>Table42[[#This Row],[Prognosis BP26]]/1000</f>
        <v>50</v>
      </c>
      <c r="P37" s="1" t="e">
        <f>VLOOKUP(Table42[[#This Row],[Task name]],#REF!,5,FALSE)</f>
        <v>#REF!</v>
      </c>
    </row>
    <row r="38" spans="1:17" s="6" customFormat="1" ht="15" hidden="1" customHeight="1">
      <c r="A38" s="6" t="s">
        <v>76</v>
      </c>
      <c r="B38" s="6" t="s">
        <v>371</v>
      </c>
      <c r="C38" s="6" t="s">
        <v>183</v>
      </c>
      <c r="D38" s="6" t="s">
        <v>65</v>
      </c>
      <c r="E38" s="19" t="s">
        <v>67</v>
      </c>
      <c r="F38" s="6" t="s">
        <v>184</v>
      </c>
      <c r="G38" s="6" t="s">
        <v>420</v>
      </c>
      <c r="H38" s="6" t="s">
        <v>375</v>
      </c>
      <c r="I38" s="6" t="s">
        <v>421</v>
      </c>
      <c r="J38" s="13">
        <v>1</v>
      </c>
      <c r="K38" s="6" t="e">
        <f>_xlfn.IFNA(VLOOKUP(Table42[[#This Row],[Resource group]],#REF!,2,FALSE),"0")</f>
        <v>#REF!</v>
      </c>
      <c r="L38" s="8" t="e">
        <f>_xlfn.IFNA(VLOOKUP(Table42[[#This Row],[Resource group]],#REF!,4,FALSE),"0")</f>
        <v>#REF!</v>
      </c>
      <c r="M38" s="8" t="e">
        <f>Table42[[#This Row],[FTE (%) 2026]]*Table42[[#This Row],[Hrs 2026]]*Table42[[#This Row],[Rate 2026]]</f>
        <v>#REF!</v>
      </c>
      <c r="N38" s="8">
        <v>60000</v>
      </c>
      <c r="O38" s="8">
        <f>Table42[[#This Row],[Prognosis BP26]]/1000</f>
        <v>60</v>
      </c>
      <c r="P38" s="8" t="e">
        <f>VLOOKUP(Table42[[#This Row],[Task name]],#REF!,5,FALSE)</f>
        <v>#REF!</v>
      </c>
    </row>
    <row r="39" spans="1:17" s="6" customFormat="1" ht="15" hidden="1" customHeight="1">
      <c r="A39" s="6" t="s">
        <v>76</v>
      </c>
      <c r="B39" s="6" t="s">
        <v>371</v>
      </c>
      <c r="C39" s="6" t="s">
        <v>187</v>
      </c>
      <c r="D39" s="6" t="s">
        <v>72</v>
      </c>
      <c r="E39" s="19" t="s">
        <v>67</v>
      </c>
      <c r="F39" s="6" t="s">
        <v>188</v>
      </c>
      <c r="G39" s="6" t="s">
        <v>420</v>
      </c>
      <c r="H39" s="6" t="s">
        <v>375</v>
      </c>
      <c r="I39" s="21" t="s">
        <v>422</v>
      </c>
      <c r="J39" s="13">
        <v>1</v>
      </c>
      <c r="K39" s="6" t="e">
        <f>_xlfn.IFNA(VLOOKUP(Table42[[#This Row],[Resource group]],#REF!,2,FALSE),"0")</f>
        <v>#REF!</v>
      </c>
      <c r="L39" s="8" t="e">
        <f>_xlfn.IFNA(VLOOKUP(Table42[[#This Row],[Resource group]],#REF!,4,FALSE),"0")</f>
        <v>#REF!</v>
      </c>
      <c r="M39" s="8" t="e">
        <f>Table42[[#This Row],[FTE (%) 2026]]*Table42[[#This Row],[Hrs 2026]]*Table42[[#This Row],[Rate 2026]]</f>
        <v>#REF!</v>
      </c>
      <c r="N39" s="8">
        <v>54000</v>
      </c>
      <c r="O39" s="8">
        <f>Table42[[#This Row],[Prognosis BP26]]/1000</f>
        <v>54</v>
      </c>
      <c r="P39" s="8" t="e">
        <f>VLOOKUP(Table42[[#This Row],[Task name]],#REF!,5,FALSE)</f>
        <v>#REF!</v>
      </c>
    </row>
    <row r="40" spans="1:17" s="6" customFormat="1" ht="15" hidden="1" customHeight="1">
      <c r="A40" s="6" t="s">
        <v>76</v>
      </c>
      <c r="B40" s="6" t="s">
        <v>371</v>
      </c>
      <c r="C40" s="6" t="s">
        <v>190</v>
      </c>
      <c r="D40" s="6" t="s">
        <v>65</v>
      </c>
      <c r="E40" s="19" t="s">
        <v>67</v>
      </c>
      <c r="F40" s="6" t="s">
        <v>358</v>
      </c>
      <c r="G40" s="6" t="s">
        <v>420</v>
      </c>
      <c r="H40" s="6" t="s">
        <v>375</v>
      </c>
      <c r="I40" s="21" t="s">
        <v>422</v>
      </c>
      <c r="J40" s="13">
        <v>2</v>
      </c>
      <c r="K40" s="6" t="e">
        <f>_xlfn.IFNA(VLOOKUP(Table42[[#This Row],[Resource group]],#REF!,2,FALSE),"0")</f>
        <v>#REF!</v>
      </c>
      <c r="L40" s="8" t="e">
        <f>_xlfn.IFNA(VLOOKUP(Table42[[#This Row],[Resource group]],#REF!,4,FALSE),"0")</f>
        <v>#REF!</v>
      </c>
      <c r="M40" s="8" t="e">
        <f>Table42[[#This Row],[FTE (%) 2026]]*Table42[[#This Row],[Hrs 2026]]*Table42[[#This Row],[Rate 2026]]</f>
        <v>#REF!</v>
      </c>
      <c r="N40" s="8">
        <v>190000</v>
      </c>
      <c r="O40" s="8">
        <f>Table42[[#This Row],[Prognosis BP26]]/1000</f>
        <v>190</v>
      </c>
      <c r="P40" s="8" t="e">
        <f>VLOOKUP(Table42[[#This Row],[Task name]],#REF!,5,FALSE)</f>
        <v>#REF!</v>
      </c>
    </row>
    <row r="41" spans="1:17" s="6" customFormat="1" ht="15" hidden="1" customHeight="1">
      <c r="A41" s="6" t="s">
        <v>76</v>
      </c>
      <c r="B41" s="6" t="s">
        <v>371</v>
      </c>
      <c r="C41" s="6" t="s">
        <v>93</v>
      </c>
      <c r="D41" s="6" t="s">
        <v>135</v>
      </c>
      <c r="E41" s="19" t="s">
        <v>67</v>
      </c>
      <c r="F41" s="6" t="s">
        <v>193</v>
      </c>
      <c r="G41" s="6" t="s">
        <v>420</v>
      </c>
      <c r="H41" s="6" t="s">
        <v>423</v>
      </c>
      <c r="I41" s="21" t="s">
        <v>424</v>
      </c>
      <c r="J41" s="13">
        <v>1</v>
      </c>
      <c r="K41" s="6" t="e">
        <f>_xlfn.IFNA(VLOOKUP(Table42[[#This Row],[Resource group]],#REF!,2,FALSE),"0")</f>
        <v>#REF!</v>
      </c>
      <c r="L41" s="8" t="e">
        <f>_xlfn.IFNA(VLOOKUP(Table42[[#This Row],[Resource group]],#REF!,4,FALSE),"0")</f>
        <v>#REF!</v>
      </c>
      <c r="M41" s="8" t="e">
        <f>Table42[[#This Row],[FTE (%) 2026]]*Table42[[#This Row],[Hrs 2026]]*Table42[[#This Row],[Rate 2026]]</f>
        <v>#REF!</v>
      </c>
      <c r="N41" s="8">
        <f>201000/35*25</f>
        <v>143571.42857142858</v>
      </c>
      <c r="O41" s="8">
        <f>Table42[[#This Row],[Prognosis BP26]]/1000</f>
        <v>143.57142857142858</v>
      </c>
      <c r="P41" s="8" t="e">
        <f>VLOOKUP(Table42[[#This Row],[Task name]],#REF!,5,FALSE)</f>
        <v>#REF!</v>
      </c>
    </row>
    <row r="42" spans="1:17" ht="15" customHeight="1">
      <c r="A42" t="s">
        <v>76</v>
      </c>
      <c r="B42" t="s">
        <v>368</v>
      </c>
      <c r="C42" t="s">
        <v>194</v>
      </c>
      <c r="D42" t="s">
        <v>116</v>
      </c>
      <c r="E42" s="10" t="s">
        <v>67</v>
      </c>
      <c r="F42" s="18" t="s">
        <v>195</v>
      </c>
      <c r="G42" t="s">
        <v>420</v>
      </c>
      <c r="H42" t="s">
        <v>375</v>
      </c>
      <c r="I42" t="s">
        <v>425</v>
      </c>
      <c r="J42" s="12">
        <v>1</v>
      </c>
      <c r="K42" t="e">
        <f>_xlfn.IFNA(VLOOKUP(Table42[[#This Row],[Resource group]],#REF!,2,FALSE),"0")</f>
        <v>#REF!</v>
      </c>
      <c r="L42" s="1" t="e">
        <f>_xlfn.IFNA(VLOOKUP(Table42[[#This Row],[Resource group]],#REF!,4,FALSE),"0")</f>
        <v>#REF!</v>
      </c>
      <c r="M42" s="1" t="e">
        <f>Table42[[#This Row],[FTE (%) 2026]]*Table42[[#This Row],[Hrs 2026]]*Table42[[#This Row],[Rate 2026]]</f>
        <v>#REF!</v>
      </c>
      <c r="N42" s="1">
        <v>163000</v>
      </c>
      <c r="O42" s="1">
        <f>Table42[[#This Row],[Prognosis BP26]]/1000</f>
        <v>163</v>
      </c>
      <c r="P42" s="1" t="e">
        <f>VLOOKUP(Table42[[#This Row],[Task name]],#REF!,5,FALSE)</f>
        <v>#REF!</v>
      </c>
    </row>
    <row r="43" spans="1:17" s="6" customFormat="1" ht="15" hidden="1" customHeight="1">
      <c r="A43" s="6" t="s">
        <v>76</v>
      </c>
      <c r="B43" s="6" t="s">
        <v>371</v>
      </c>
      <c r="C43" s="6" t="s">
        <v>196</v>
      </c>
      <c r="D43" s="6" t="s">
        <v>197</v>
      </c>
      <c r="E43" s="19" t="s">
        <v>67</v>
      </c>
      <c r="F43" s="6" t="s">
        <v>198</v>
      </c>
      <c r="G43" s="6" t="s">
        <v>420</v>
      </c>
      <c r="H43" s="6" t="s">
        <v>375</v>
      </c>
      <c r="I43" s="6" t="s">
        <v>394</v>
      </c>
      <c r="J43" s="13">
        <v>1</v>
      </c>
      <c r="K43" s="6" t="e">
        <f>_xlfn.IFNA(VLOOKUP(Table42[[#This Row],[Resource group]],#REF!,2,FALSE),"0")</f>
        <v>#REF!</v>
      </c>
      <c r="L43" s="8" t="e">
        <f>_xlfn.IFNA(VLOOKUP(Table42[[#This Row],[Resource group]],#REF!,4,FALSE),"0")</f>
        <v>#REF!</v>
      </c>
      <c r="M43" s="8" t="e">
        <f>Table42[[#This Row],[FTE (%) 2026]]*Table42[[#This Row],[Hrs 2026]]*Table42[[#This Row],[Rate 2026]]</f>
        <v>#REF!</v>
      </c>
      <c r="N43" s="8">
        <v>92000</v>
      </c>
      <c r="O43" s="8">
        <f>Table42[[#This Row],[Prognosis BP26]]/1000</f>
        <v>92</v>
      </c>
      <c r="P43" s="8" t="e">
        <f>VLOOKUP(Table42[[#This Row],[Task name]],#REF!,5,FALSE)</f>
        <v>#REF!</v>
      </c>
    </row>
    <row r="44" spans="1:17" s="6" customFormat="1" ht="15" hidden="1" customHeight="1">
      <c r="A44" s="6" t="s">
        <v>76</v>
      </c>
      <c r="B44" s="6" t="s">
        <v>371</v>
      </c>
      <c r="C44" s="6" t="s">
        <v>200</v>
      </c>
      <c r="D44" s="6" t="s">
        <v>197</v>
      </c>
      <c r="E44" s="19" t="s">
        <v>67</v>
      </c>
      <c r="F44" s="6" t="s">
        <v>201</v>
      </c>
      <c r="G44" s="6" t="s">
        <v>420</v>
      </c>
      <c r="H44" s="6" t="s">
        <v>375</v>
      </c>
      <c r="I44" s="6" t="s">
        <v>394</v>
      </c>
      <c r="J44" s="13">
        <v>1</v>
      </c>
      <c r="K44" s="6" t="e">
        <f>_xlfn.IFNA(VLOOKUP(Table42[[#This Row],[Resource group]],#REF!,2,FALSE),"0")</f>
        <v>#REF!</v>
      </c>
      <c r="L44" s="8" t="e">
        <f>_xlfn.IFNA(VLOOKUP(Table42[[#This Row],[Resource group]],#REF!,4,FALSE),"0")</f>
        <v>#REF!</v>
      </c>
      <c r="M44" s="8" t="e">
        <f>Table42[[#This Row],[FTE (%) 2026]]*Table42[[#This Row],[Hrs 2026]]*Table42[[#This Row],[Rate 2026]]</f>
        <v>#REF!</v>
      </c>
      <c r="N44" s="8">
        <v>92000</v>
      </c>
      <c r="O44" s="8">
        <f>Table42[[#This Row],[Prognosis BP26]]/1000</f>
        <v>92</v>
      </c>
      <c r="P44" s="8" t="e">
        <f>VLOOKUP(Table42[[#This Row],[Task name]],#REF!,5,FALSE)</f>
        <v>#REF!</v>
      </c>
    </row>
    <row r="45" spans="1:17" s="6" customFormat="1" ht="15" hidden="1" customHeight="1">
      <c r="B45" s="6" t="s">
        <v>371</v>
      </c>
      <c r="C45" s="6" t="s">
        <v>202</v>
      </c>
      <c r="D45" s="6" t="s">
        <v>47</v>
      </c>
      <c r="E45" s="19" t="s">
        <v>54</v>
      </c>
      <c r="G45" s="6" t="s">
        <v>420</v>
      </c>
      <c r="H45" s="6" t="s">
        <v>373</v>
      </c>
      <c r="J45" s="20"/>
      <c r="K45" s="6" t="e">
        <f>_xlfn.IFNA(VLOOKUP(Table42[[#This Row],[Resource group]],#REF!,2,FALSE),"0")</f>
        <v>#REF!</v>
      </c>
      <c r="L45" s="8" t="e">
        <f>_xlfn.IFNA(VLOOKUP(Table42[[#This Row],[Resource group]],#REF!,4,FALSE),"0")</f>
        <v>#REF!</v>
      </c>
      <c r="M45" s="8" t="e">
        <f>#REF!*Table42[[#This Row],[Hrs 2026]]*Table42[[#This Row],[Rate 2026]]</f>
        <v>#REF!</v>
      </c>
      <c r="N45" s="8">
        <v>150000</v>
      </c>
      <c r="O45" s="8">
        <f>Table42[[#This Row],[Prognosis BP26]]/1000</f>
        <v>150</v>
      </c>
      <c r="P45" s="8" t="e">
        <f>VLOOKUP(Table42[[#This Row],[Task name]],#REF!,5,FALSE)</f>
        <v>#REF!</v>
      </c>
    </row>
    <row r="46" spans="1:17">
      <c r="A46" t="s">
        <v>206</v>
      </c>
      <c r="J46" s="1"/>
      <c r="M46" s="1"/>
      <c r="N46" s="1">
        <f>SUBTOTAL(109,Table42[Prognosis BP26])</f>
        <v>920000</v>
      </c>
      <c r="O46" s="1"/>
      <c r="P46" s="1" t="e">
        <f>SUBTOTAL(109,Table42[C-Hub CF09/2025  (before redistribution to Cust. Proj)])</f>
        <v>#REF!</v>
      </c>
    </row>
    <row r="47" spans="1:17">
      <c r="N47" s="1"/>
      <c r="O47" s="1"/>
    </row>
    <row r="48" spans="1:17">
      <c r="P48" s="1"/>
    </row>
    <row r="50" spans="3:3">
      <c r="C50" t="s">
        <v>426</v>
      </c>
    </row>
    <row r="51" spans="3:3">
      <c r="C51" t="s">
        <v>427</v>
      </c>
    </row>
    <row r="52" spans="3:3">
      <c r="C52" t="s">
        <v>428</v>
      </c>
    </row>
    <row r="53" spans="3:3">
      <c r="C53" t="s">
        <v>429</v>
      </c>
    </row>
    <row r="54" spans="3:3">
      <c r="C54" t="s">
        <v>430</v>
      </c>
    </row>
  </sheetData>
  <phoneticPr fontId="8" type="noConversion"/>
  <pageMargins left="0.7" right="0.7" top="0.75" bottom="0.75" header="0.3" footer="0.3"/>
  <drawing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4756DCD88B1C94F87EB433C2E619081" ma:contentTypeVersion="17" ma:contentTypeDescription="Create a new document." ma:contentTypeScope="" ma:versionID="cc855f1f4e99046d8d29b1f35a26a1b8">
  <xsd:schema xmlns:xsd="http://www.w3.org/2001/XMLSchema" xmlns:xs="http://www.w3.org/2001/XMLSchema" xmlns:p="http://schemas.microsoft.com/office/2006/metadata/properties" xmlns:ns2="bf1cc91a-23a1-4bf5-807e-677345bbf173" xmlns:ns3="0a617057-2061-48af-a69f-e35ea48bd93a" targetNamespace="http://schemas.microsoft.com/office/2006/metadata/properties" ma:root="true" ma:fieldsID="184ef61c61e6c74433ce0e4d56457c16" ns2:_="" ns3:_="">
    <xsd:import namespace="bf1cc91a-23a1-4bf5-807e-677345bbf173"/>
    <xsd:import namespace="0a617057-2061-48af-a69f-e35ea48bd93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1cc91a-23a1-4bf5-807e-677345bbf1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e50c28b-242c-4b51-be91-908d422433a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617057-2061-48af-a69f-e35ea48bd93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f888b16-9b28-4042-a66d-2357d89e479f}" ma:internalName="TaxCatchAll" ma:showField="CatchAllData" ma:web="0a617057-2061-48af-a69f-e35ea48bd93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f1cc91a-23a1-4bf5-807e-677345bbf173">
      <Terms xmlns="http://schemas.microsoft.com/office/infopath/2007/PartnerControls"/>
    </lcf76f155ced4ddcb4097134ff3c332f>
    <TaxCatchAll xmlns="0a617057-2061-48af-a69f-e35ea48bd93a" xsi:nil="true"/>
  </documentManagement>
</p:properties>
</file>

<file path=customXml/itemProps1.xml><?xml version="1.0" encoding="utf-8"?>
<ds:datastoreItem xmlns:ds="http://schemas.openxmlformats.org/officeDocument/2006/customXml" ds:itemID="{6F7DC06A-6D41-4D83-9452-91473CFC6A91}">
  <ds:schemaRefs>
    <ds:schemaRef ds:uri="http://schemas.microsoft.com/sharepoint/v3/contenttype/forms"/>
  </ds:schemaRefs>
</ds:datastoreItem>
</file>

<file path=customXml/itemProps2.xml><?xml version="1.0" encoding="utf-8"?>
<ds:datastoreItem xmlns:ds="http://schemas.openxmlformats.org/officeDocument/2006/customXml" ds:itemID="{E9721396-D13F-421E-9BF7-0E62B8A279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1cc91a-23a1-4bf5-807e-677345bbf173"/>
    <ds:schemaRef ds:uri="0a617057-2061-48af-a69f-e35ea48bd9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6A0139C-58E0-43A7-96AA-1DE89BCE03E9}">
  <ds:schemaRefs>
    <ds:schemaRef ds:uri="http://schemas.microsoft.com/office/2006/metadata/properties"/>
    <ds:schemaRef ds:uri="http://schemas.microsoft.com/office/infopath/2007/PartnerControls"/>
    <ds:schemaRef ds:uri="bf1cc91a-23a1-4bf5-807e-677345bbf173"/>
    <ds:schemaRef ds:uri="0a617057-2061-48af-a69f-e35ea48bd9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BP2026_Archive (21Apr26)</vt:lpstr>
      <vt:lpstr>Risk-Tracking</vt:lpstr>
      <vt:lpstr>Cost tracking chart</vt:lpstr>
      <vt:lpstr>Dashboards</vt:lpstr>
      <vt:lpstr>Final input Arun 002&amp;003</vt:lpstr>
      <vt:lpstr>XC-fix</vt:lpstr>
      <vt:lpstr>AAA</vt:lpstr>
      <vt:lpstr>Final input Arun 002&amp;003 (2)</vt:lpstr>
      <vt:lpstr>Draft_Arun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Karaivanov Stanislav (BD/SPB-APA9)</dc:creator>
  <cp:keywords/>
  <dc:description/>
  <cp:lastModifiedBy>Karaivanov Stanislav (BD/SPB-APA9)</cp:lastModifiedBy>
  <cp:revision/>
  <dcterms:created xsi:type="dcterms:W3CDTF">2025-05-28T07:02:42Z</dcterms:created>
  <dcterms:modified xsi:type="dcterms:W3CDTF">2026-04-24T14:58:30Z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0x01010034756DCD88B1C94F87EB433C2E619081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