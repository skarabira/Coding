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kas2sf_bosch_com/Documents/1. Projects/Coding/BudgetPlanner/as is state - excel/"/>
    </mc:Choice>
  </mc:AlternateContent>
  <xr:revisionPtr revIDLastSave="90" documentId="8_{56932195-814F-4441-BB34-E62B1EC497CA}" xr6:coauthVersionLast="47" xr6:coauthVersionMax="47" xr10:uidLastSave="{9DBF93C8-DDE5-46C0-B278-D637BE999200}"/>
  <bookViews>
    <workbookView xWindow="-108" yWindow="-108" windowWidth="23256" windowHeight="13896" xr2:uid="{B4603D5C-6D31-4E41-9D45-E934CA96C9CD}"/>
  </bookViews>
  <sheets>
    <sheet name="BP2026_CF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20" i="1"/>
  <c r="H21" i="1"/>
  <c r="H22" i="1"/>
  <c r="H23" i="1"/>
  <c r="M45" i="1"/>
  <c r="H40" i="1"/>
  <c r="H44" i="1"/>
  <c r="J17" i="1"/>
  <c r="J18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1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K74" i="1"/>
  <c r="J47" i="1"/>
  <c r="J46" i="1"/>
  <c r="J42" i="1"/>
  <c r="J39" i="1"/>
  <c r="J25" i="1"/>
  <c r="J20" i="1"/>
  <c r="J16" i="1"/>
  <c r="J8" i="1"/>
  <c r="J14" i="1" l="1"/>
  <c r="J23" i="1"/>
  <c r="J45" i="1"/>
  <c r="J19" i="1"/>
  <c r="J40" i="1"/>
  <c r="J48" i="1"/>
  <c r="J9" i="1"/>
  <c r="J21" i="1"/>
  <c r="J43" i="1"/>
  <c r="J22" i="1"/>
  <c r="J44" i="1"/>
  <c r="J12" i="1"/>
  <c r="J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tc={5386E3CB-60AA-400A-91A8-268C83D0945A}</author>
    <author>tc={B434BEC2-973F-4BAF-AAB8-5E17DCBBFC01}</author>
    <author>tc={9808D518-CA30-4E70-A24B-61E1C2A8C0CE}</author>
    <author>tc={0C3307D4-F0BA-459E-9580-407707C9EA7D}</author>
    <author>tc={25C5A34B-2187-4B1A-8360-DFA76F5DE826}</author>
    <author>tc={5B3A4C03-28B3-40D7-875F-6F33763C8A63}</author>
    <author>tc={15D9E007-73ED-438D-8C31-EB3D6F981D7F}</author>
    <author>tc={FDBF0101-E44D-49D6-BD4B-BED8FE4F74A0}</author>
  </authors>
  <commentList>
    <comment ref="D8" authorId="0" shapeId="0" xr:uid="{5386E3CB-60AA-400A-91A8-268C83D0945A}">
      <text>
        <t>[Threaded comment]
Your version of Excel allows you to read this threaded comment; however, any edits to it will get removed if the file is opened in a newer version of Excel. Learn more: https://go.microsoft.com/fwlink/?linkid=870924
Comment:
    @Karaivanov Stanislav (BD/SPB-APA9) resource group changed --&gt; now Cluj</t>
      </text>
    </comment>
    <comment ref="G9" authorId="1" shapeId="0" xr:uid="{B434BEC2-973F-4BAF-AAB8-5E17DCBBFC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@Hodzic Alkis (PS-CV/EES PS-SC/XPS) macht es Sinn die Aufgaben von Manish nach Cluj zu transferieren?
Reply:
    JA wie besprochen. </t>
      </text>
    </comment>
    <comment ref="A14" authorId="2" shapeId="0" xr:uid="{9808D518-CA30-4E70-A24B-61E1C2A8C0C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002 to 003: all resource groups in Germany should be at 003. Need to be changed in MCR also.</t>
      </text>
    </comment>
    <comment ref="D15" authorId="3" shapeId="0" xr:uid="{0C3307D4-F0BA-459E-9580-407707C9EA7D}">
      <text>
        <t>[Threaded comment]
Your version of Excel allows you to read this threaded comment; however, any edits to it will get removed if the file is opened in a newer version of Excel. Learn more: https://go.microsoft.com/fwlink/?linkid=870924
Comment:
    @Karaivanov Stanislav (BD/SPB-APA9) resource group changed --&gt; now Cluj
Reply:
    @Karaivanov Stanislav (BD/SPB-APA9)  changed from Germany to Cluj and 007 to 006 (no ögP)</t>
      </text>
    </comment>
    <comment ref="A20" authorId="4" shapeId="0" xr:uid="{25C5A34B-2187-4B1A-8360-DFA76F5D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003 to 002: all resource groups in Germany should be at 003. Need to be changed in MCR also.</t>
      </text>
    </comment>
    <comment ref="D22" authorId="5" shapeId="0" xr:uid="{5B3A4C03-28B3-40D7-875F-6F33763C8A63}">
      <text>
        <t>[Threaded comment]
Your version of Excel allows you to read this threaded comment; however, any edits to it will get removed if the file is opened in a newer version of Excel. Learn more: https://go.microsoft.com/fwlink/?linkid=870924
Comment:
    @Karaivanov Stanislav (BD/SPB-APA9) resource group changed --&gt; now Cluj
Reply:
    @Karaivanov Stanislav (BD/SPB-APA9)  changed from Germany to Cluj and 007 to 006 (no ögP)
Reply:
    @Karaivanov Stanislav (BD/SPB-APA9)  changed from India to Cluj</t>
      </text>
    </comment>
    <comment ref="A39" authorId="6" shapeId="0" xr:uid="{15D9E007-73ED-438D-8C31-EB3D6F981D7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003 to 002: all resource groups in Germany should be at 003. Need to be changed in MCR also.</t>
      </text>
    </comment>
    <comment ref="A45" authorId="7" shapeId="0" xr:uid="{FDBF0101-E44D-49D6-BD4B-BED8FE4F7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002 to 003: all resource groups in Germany should be at 003. Need to be changed in MCR also.</t>
      </text>
    </comment>
  </commentList>
</comments>
</file>

<file path=xl/sharedStrings.xml><?xml version="1.0" encoding="utf-8"?>
<sst xmlns="http://schemas.openxmlformats.org/spreadsheetml/2006/main" count="363" uniqueCount="146">
  <si>
    <t>WBS</t>
  </si>
  <si>
    <t>Task name</t>
  </si>
  <si>
    <t>Resource group</t>
  </si>
  <si>
    <t>Orga new</t>
  </si>
  <si>
    <t>Cost type</t>
  </si>
  <si>
    <t>Person booking</t>
  </si>
  <si>
    <t>Total Hrs 2026</t>
  </si>
  <si>
    <t>Rate 2026</t>
  </si>
  <si>
    <t xml:space="preserve">Personnel costs </t>
  </si>
  <si>
    <t>Comments</t>
  </si>
  <si>
    <t>Refunding</t>
  </si>
  <si>
    <t>BM-00110021_003</t>
  </si>
  <si>
    <t>BM-00110021_003_00000006</t>
  </si>
  <si>
    <t>Refunding for C-Hub main project ögP</t>
  </si>
  <si>
    <t>PS-SC/CE-EU, CE-PE Publicly Funded Project - Refunding</t>
  </si>
  <si>
    <t>(blank)</t>
  </si>
  <si>
    <t>Stretch target</t>
  </si>
  <si>
    <t>BM-00110021_002</t>
  </si>
  <si>
    <t>Stretch target (budget cut)</t>
  </si>
  <si>
    <t>PS-SC/PAC Other Costs</t>
  </si>
  <si>
    <t>Budget cut =  400k€, set initially on 27-Jan-26 in _003</t>
  </si>
  <si>
    <t>BM-00110021_005</t>
  </si>
  <si>
    <t>Refunding for C-Hub XC ögP</t>
  </si>
  <si>
    <t>Customer integrations</t>
  </si>
  <si>
    <t>PA-CS</t>
  </si>
  <si>
    <t>Other cost</t>
  </si>
  <si>
    <t>assumtption: 10 customer á 80k€</t>
  </si>
  <si>
    <t>BM-00110021_002_00000005</t>
  </si>
  <si>
    <t>MA for vehicle configuration</t>
  </si>
  <si>
    <t>ETAS</t>
  </si>
  <si>
    <t>Dirk needed for tranfer to PS</t>
  </si>
  <si>
    <t xml:space="preserve">PO #0087207184,  C-Hub Content &amp; Consultation Q1-Q3 2026 </t>
  </si>
  <si>
    <t>RM+RD config + Cojali + Pantaris configs</t>
  </si>
  <si>
    <t>PS-SC/EDS_PS-SC EDS_PS-SC_XPS</t>
  </si>
  <si>
    <t>Cluj</t>
  </si>
  <si>
    <t>Personnel cost</t>
  </si>
  <si>
    <t>NN</t>
  </si>
  <si>
    <t>tbd w/ Alin: who is staffed here</t>
  </si>
  <si>
    <t>MS/ECP-PS-IN_iGPM SW-Services_DP</t>
  </si>
  <si>
    <t>IN</t>
  </si>
  <si>
    <t>Dhingra, Manish</t>
  </si>
  <si>
    <t>Data / rev. Eng. and AI</t>
  </si>
  <si>
    <t>Series Logistics Concept</t>
  </si>
  <si>
    <t>M</t>
  </si>
  <si>
    <t>NA Team + other cost</t>
  </si>
  <si>
    <t>PS-SC/EBR-NA SW Eng</t>
  </si>
  <si>
    <t>PA-CS/NA</t>
  </si>
  <si>
    <t>BM-00110021_002_00000008</t>
  </si>
  <si>
    <t>VCS SW maintance</t>
  </si>
  <si>
    <t>VCS</t>
  </si>
  <si>
    <t>27-Feb: Lates planning = 222 kEUR</t>
  </si>
  <si>
    <t>System integration and performing V&amp;V</t>
  </si>
  <si>
    <t>PS-SC/XPS PS-SC XPS development</t>
  </si>
  <si>
    <t>Weiss Patrick (PS-SC/XPS)</t>
  </si>
  <si>
    <t>Operations L1/L2 Incident/Problem/Monitoring</t>
  </si>
  <si>
    <t>Sorina (support) + Bianca + Maria (200%)</t>
  </si>
  <si>
    <t>tbd w/ Alin: is that working out</t>
  </si>
  <si>
    <t>Service Management</t>
  </si>
  <si>
    <t>PS-SC/ETX</t>
  </si>
  <si>
    <t>Lausch, Ann Kathrin / Cluj PS-SC/ETX</t>
  </si>
  <si>
    <t>BM-00110021_002_00000009</t>
  </si>
  <si>
    <t>Service Operation EU - VI</t>
  </si>
  <si>
    <t>Operation</t>
  </si>
  <si>
    <t>Other cost?</t>
  </si>
  <si>
    <t>BM-00110021_002_00000010</t>
  </si>
  <si>
    <t>Service Operation NA - VI</t>
  </si>
  <si>
    <t>Partner Manager</t>
  </si>
  <si>
    <t>PS-SC/PAC PAC1</t>
  </si>
  <si>
    <t>Hornung, Floyd?</t>
  </si>
  <si>
    <t>Ciolte Natalia Liliana (PS-SC/ETX1)</t>
  </si>
  <si>
    <t>EPQ</t>
  </si>
  <si>
    <t>Lakshmi, Ramakrishnan</t>
  </si>
  <si>
    <t>Security Manager</t>
  </si>
  <si>
    <t xml:space="preserve">Covasa Szilard Fineas (PS-SC/EDS1) </t>
  </si>
  <si>
    <t>Support BGSW (Arun)</t>
  </si>
  <si>
    <t>MS/END-IN_iGPM Mechanical_Design_Services_W/O_CAD_SW_PS_Sensors</t>
  </si>
  <si>
    <t>Palanisamy, Babu</t>
  </si>
  <si>
    <t>BM-00110021_002_00000011</t>
  </si>
  <si>
    <t>BD Support (Technical Documentation)</t>
  </si>
  <si>
    <t>BD</t>
  </si>
  <si>
    <t>Marianne</t>
  </si>
  <si>
    <t>CF05: BD costs aggregated to BM-00110021_002_00000012</t>
  </si>
  <si>
    <t>Product development lead</t>
  </si>
  <si>
    <t>PS-CV/EES System Engineer EES (ex CVO/ENP)</t>
  </si>
  <si>
    <t>CV</t>
  </si>
  <si>
    <t>Hodzic, Alkis -&gt; Transfer Alkis  to PS-S  -&gt; C reduces costs</t>
  </si>
  <si>
    <t>BM-00110021_002_00000012</t>
  </si>
  <si>
    <t>BD Support (PjM and Controlling)</t>
  </si>
  <si>
    <t>Rainer, Stan</t>
  </si>
  <si>
    <t>BM-00110021_004</t>
  </si>
  <si>
    <t>C-Hub XC Series Care_004</t>
  </si>
  <si>
    <t>Various XC</t>
  </si>
  <si>
    <t>XC</t>
  </si>
  <si>
    <t>Multiple</t>
  </si>
  <si>
    <t>CF05: ~ 43k€ increase (from 1052 to 1095 k€), input Can Oezcan</t>
  </si>
  <si>
    <t>C-Hub XC Series Care_005</t>
  </si>
  <si>
    <t>CF05: ~13 k€ increase (from 598 to 611 k€), input Can Oezcan</t>
  </si>
  <si>
    <t>C-Hub XC New Features</t>
  </si>
  <si>
    <t>CF05: Increased due to XC Stretch target increase</t>
  </si>
  <si>
    <t>BM-00110021_002_00000013</t>
  </si>
  <si>
    <t>CVIT Partner Manager</t>
  </si>
  <si>
    <t>Bari</t>
  </si>
  <si>
    <t>BM-00110021_002_00000014</t>
  </si>
  <si>
    <t>ETAS-MSS Cojali</t>
  </si>
  <si>
    <t>Cojali Series Integration: PO 0087209779-Q1; PO 0087211879-Q2</t>
  </si>
  <si>
    <t>BM-00110021_002_00000015</t>
  </si>
  <si>
    <t>R&amp;D at Cojali</t>
  </si>
  <si>
    <t>BM-00110021_002_00000016</t>
  </si>
  <si>
    <t>PO for Cojali</t>
  </si>
  <si>
    <t>Scholz, Sebastian</t>
  </si>
  <si>
    <t>27-Feb: Latest plqnning = 332 kEUR</t>
  </si>
  <si>
    <t>BM-00110021_002_00000017</t>
  </si>
  <si>
    <t>VCS R&amp;D</t>
  </si>
  <si>
    <t>27-Feb: Latest plqnning = 824 kEUR</t>
  </si>
  <si>
    <t>C-Hub XC - HW Change for RS-232, K-LINE</t>
  </si>
  <si>
    <t>BM-00110021_002_00000018</t>
  </si>
  <si>
    <t>BD Support (Cojali &amp; CDK)</t>
  </si>
  <si>
    <t>Gibayev Oleg</t>
  </si>
  <si>
    <t>CDK development</t>
  </si>
  <si>
    <t>Birnescu Florin (PS-SC/EDS1)</t>
  </si>
  <si>
    <t>Technical Docu Cluj</t>
  </si>
  <si>
    <t>Mindrean Denisa (PS-SC/EDS) --&gt; booking is done by Alin Pantea on her behalf</t>
  </si>
  <si>
    <t>BM-00110021_003_00000004</t>
  </si>
  <si>
    <t>Other cost / Lab, HW etc.</t>
  </si>
  <si>
    <t>Customer Cloud Integration / pre-development for VI integration</t>
  </si>
  <si>
    <t>Modoc, Daniel Stefan</t>
  </si>
  <si>
    <t>E2E System Team - Requirements Eng. &amp; System development</t>
  </si>
  <si>
    <t>Praveen, K M</t>
  </si>
  <si>
    <t>E2E System Team - SysArch - Requirements Eng. &amp; System development</t>
  </si>
  <si>
    <t xml:space="preserve"> Hategan, Liviu Ioan; Oliver J.</t>
  </si>
  <si>
    <t>Blohm, Christina; Frank, Kornelius</t>
  </si>
  <si>
    <t>System Integration and Solution Architecture technical customer support</t>
  </si>
  <si>
    <t>Perless, Alexander</t>
  </si>
  <si>
    <t>Managing V&amp;V</t>
  </si>
  <si>
    <t>PS-SC/ETX V&amp;V CE Other Cust. Proj.</t>
  </si>
  <si>
    <t>Fagarasi, Lorand</t>
  </si>
  <si>
    <t>Performing V&amp;V</t>
  </si>
  <si>
    <t>Chirlejan, Alex Bogdan</t>
  </si>
  <si>
    <t>Installation App development</t>
  </si>
  <si>
    <t>Stretch target XC</t>
  </si>
  <si>
    <t>CF05: Stretch target increased to compensate for the XC increase</t>
  </si>
  <si>
    <t>BM-00107793_002</t>
  </si>
  <si>
    <t>BM-00112873_001</t>
  </si>
  <si>
    <t>Total</t>
  </si>
  <si>
    <t>MCR ID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</si>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</sst>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[$€-1]_-;\-* #,##0\ [$€-1]_-;_-* &quot;-&quot;??\ [$€-1]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Bosch Sans Light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1" xfId="0" applyFill="1" applyBorder="1"/>
    <xf numFmtId="164" fontId="0" fillId="0" borderId="0" xfId="0" applyNumberFormat="1"/>
    <xf numFmtId="164" fontId="0" fillId="0" borderId="3" xfId="0" applyNumberFormat="1" applyBorder="1"/>
    <xf numFmtId="164" fontId="0" fillId="4" borderId="3" xfId="0" applyNumberFormat="1" applyFill="1" applyBorder="1"/>
    <xf numFmtId="164" fontId="0" fillId="0" borderId="0" xfId="0" applyNumberFormat="1" applyAlignment="1">
      <alignment wrapText="1"/>
    </xf>
    <xf numFmtId="0" fontId="0" fillId="5" borderId="0" xfId="0" applyFill="1"/>
    <xf numFmtId="0" fontId="0" fillId="6" borderId="0" xfId="0" applyFill="1"/>
    <xf numFmtId="164" fontId="0" fillId="5" borderId="0" xfId="0" applyNumberFormat="1" applyFill="1"/>
    <xf numFmtId="0" fontId="0" fillId="4" borderId="0" xfId="0" applyFill="1"/>
    <xf numFmtId="164" fontId="3" fillId="4" borderId="3" xfId="0" applyNumberFormat="1" applyFont="1" applyFill="1" applyBorder="1"/>
    <xf numFmtId="0" fontId="2" fillId="0" borderId="0" xfId="0" applyFont="1"/>
    <xf numFmtId="0" fontId="0" fillId="0" borderId="0" xfId="0" applyAlignment="1">
      <alignment wrapText="1"/>
    </xf>
    <xf numFmtId="164" fontId="0" fillId="7" borderId="3" xfId="0" applyNumberFormat="1" applyFill="1" applyBorder="1"/>
    <xf numFmtId="164" fontId="0" fillId="0" borderId="4" xfId="0" applyNumberFormat="1" applyBorder="1"/>
    <xf numFmtId="0" fontId="4" fillId="0" borderId="0" xfId="0" applyFont="1"/>
    <xf numFmtId="166" fontId="0" fillId="0" borderId="0" xfId="1" applyNumberFormat="1" applyFont="1"/>
    <xf numFmtId="0" fontId="4" fillId="8" borderId="5" xfId="0" applyFont="1" applyFill="1" applyBorder="1"/>
    <xf numFmtId="0" fontId="4" fillId="7" borderId="0" xfId="0" applyFont="1" applyFill="1"/>
    <xf numFmtId="164" fontId="4" fillId="7" borderId="0" xfId="0" applyNumberFormat="1" applyFont="1" applyFill="1"/>
    <xf numFmtId="0" fontId="0" fillId="0" borderId="6" xfId="0" applyBorder="1"/>
    <xf numFmtId="164" fontId="0" fillId="0" borderId="6" xfId="0" applyNumberFormat="1" applyBorder="1"/>
    <xf numFmtId="164" fontId="0" fillId="7" borderId="0" xfId="0" applyNumberFormat="1" applyFill="1"/>
    <xf numFmtId="0" fontId="0" fillId="7" borderId="0" xfId="0" applyFill="1"/>
    <xf numFmtId="0" fontId="4" fillId="7" borderId="2" xfId="0" applyFont="1" applyFill="1" applyBorder="1"/>
    <xf numFmtId="164" fontId="4" fillId="7" borderId="2" xfId="0" applyNumberFormat="1" applyFont="1" applyFill="1" applyBorder="1"/>
    <xf numFmtId="166" fontId="0" fillId="0" borderId="0" xfId="0" applyNumberFormat="1"/>
  </cellXfs>
  <cellStyles count="3">
    <cellStyle name="Currency" xfId="1" builtinId="4"/>
    <cellStyle name="Normal" xfId="0" builtinId="0"/>
    <cellStyle name="Währung 2" xfId="2" xr:uid="{05F44D13-BF44-4582-B244-1F53B29F6EFA}"/>
  </cellStyles>
  <dxfs count="8">
    <dxf>
      <numFmt numFmtId="164" formatCode="_-* #,##0\ [$€-1]_-;\-* #,##0\ [$€-1]_-;_-* &quot;-&quot;??\ [$€-1]_-;_-@_-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64" formatCode="_-* #,##0\ [$€-1]_-;\-* #,##0\ [$€-1]_-;_-* &quot;-&quot;??\ [$€-1]_-;_-@_-"/>
    </dxf>
    <dxf>
      <alignment horizontal="left" vertical="bottom" textRotation="0" wrapText="0" indent="0" justifyLastLine="0" shrinkToFit="0" readingOrder="0"/>
    </dxf>
    <dxf>
      <numFmt numFmtId="164" formatCode="_-* #,##0\ [$€-1]_-;\-* #,##0\ [$€-1]_-;_-* &quot;-&quot;??\ [$€-1]_-;_-@_-"/>
    </dxf>
    <dxf>
      <numFmt numFmtId="164" formatCode="_-* #,##0\ [$€-1]_-;\-* #,##0\ [$€-1]_-;_-* &quot;-&quot;??\ [$€-1]_-;_-@_-"/>
      <border diagonalUp="0" diagonalDown="0" outline="0">
        <left style="thin">
          <color indexed="64"/>
        </left>
        <right/>
        <top/>
        <bottom/>
      </border>
    </dxf>
    <dxf>
      <numFmt numFmtId="164" formatCode="_-* #,##0\ [$€-1]_-;\-* #,##0\ [$€-1]_-;_-* &quot;-&quot;??\ [$€-1]_-;_-@_-"/>
    </dxf>
    <dxf>
      <numFmt numFmtId="164" formatCode="_-* #,##0\ [$€-1]_-;\-* #,##0\ [$€-1]_-;_-* &quot;-&quot;??\ [$€-1]_-;_-@_-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dzic Alkis (PS-CV/EES PS-SC/XPS)" id="{8E1091FE-3294-4FF9-8CF9-CD197997089A}" userId="aoh3fe@bosch.com" providerId="PeoplePicker"/>
  <person displayName="Karaivanov Stanislav (BD/SPB-APA9)" id="{9F08ADA5-3182-46C4-80F8-7A9B6EE4F80F}" userId="kas2sf@bosch.com" providerId="PeoplePicker"/>
  <person displayName="Hodzic Alkis (PS-CV/EES PS-SC/XPS)" id="{DABD0D09-AEB6-46DE-976C-01801A94D11C}" userId="S::aoh3fe@bosch.com::2bcc72e8-f1ee-4c59-9d9a-d11c7b949b8d" providerId="AD"/>
  <person displayName="Ginzel Rainer (BD/SPB-APB9 BD/MSA-DSS-Sq4 PS-SC/XPS)" id="{FBC423A5-AA65-461E-9726-B8EC4FB798DC}" userId="S::gia1fe@bosch.com::0286d011-379d-42c9-955b-61f811e85c80" providerId="AD"/>
  <person displayName="Karaivanov Stanislav (BD/SPB-APA9)" id="{806E709F-6C8E-4453-A445-A3DDC6BC4886}" userId="S::kas2sf@bosch.com::afcd43b4-9d48-4bfd-96a5-b0a284f3bd5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8DEE7-F7FD-4341-A2B8-5EE97796FE30}" name="Table4261013" displayName="Table4261013" ref="A2:L74" totalsRowCount="1">
  <autoFilter ref="A2:L73" xr:uid="{C7DC3CAE-E970-43DC-9F2E-C1D0242F9691}"/>
  <tableColumns count="12">
    <tableColumn id="43" xr3:uid="{A4A91B65-518F-42CC-BD4F-170AC75FA225}" name="MCR ID"/>
    <tableColumn id="30" xr3:uid="{9C28B3F1-0CB7-4429-B325-92B44677B734}" name="WBS"/>
    <tableColumn id="2" xr3:uid="{40A0FD17-823D-4BBC-B50D-41E68EC4B593}" name="Task name"/>
    <tableColumn id="18" xr3:uid="{5F1BC85C-5EF6-45AE-8159-EDD3B0EF8858}" name="Resource group"/>
    <tableColumn id="29" xr3:uid="{EA8EAD09-4E00-4168-9E26-F298C5E24653}" name="Orga new"/>
    <tableColumn id="3" xr3:uid="{A4498FBA-26D4-45DE-8269-BA8FFC86F069}" name="Cost type" dataDxfId="7" totalsRowDxfId="2"/>
    <tableColumn id="4" xr3:uid="{9F4C6B6B-7505-4B6A-B7D8-8F433A64EE82}" name="Person booking"/>
    <tableColumn id="16" xr3:uid="{436233D1-002E-45AD-8088-1876AF747F1B}" name="Total Hrs 2026"/>
    <tableColumn id="9" xr3:uid="{9D3E2173-BE86-478E-AEF4-800793DA9CF4}" name="Rate 2026" dataDxfId="6"/>
    <tableColumn id="15" xr3:uid="{C13FCCE1-185F-4A5A-B5F1-DBE702204823}" name="Personnel costs " dataDxfId="5" totalsRowDxfId="1"/>
    <tableColumn id="33" xr3:uid="{2AAC58E8-ABD1-46AB-AD43-460686C3D5AA}" name="Total" totalsRowFunction="sum" dataDxfId="4" totalsRowDxfId="0"/>
    <tableColumn id="6" xr3:uid="{724F9B75-EB95-4796-8A24-3F46BDAF4892}" name="Comments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11-12T22:18:43.08" personId="{FBC423A5-AA65-461E-9726-B8EC4FB798DC}" id="{5386E3CB-60AA-400A-91A8-268C83D0945A}">
    <text>@Karaivanov Stanislav (BD/SPB-APA9) resource group changed --&gt; now Cluj</text>
    <mentions>
      <mention mentionpersonId="{9F08ADA5-3182-46C4-80F8-7A9B6EE4F80F}" mentionId="{E4718EA3-FD08-4D09-8FE3-B7C571066985}" startIndex="0" length="35"/>
    </mentions>
  </threadedComment>
  <threadedComment ref="G9" dT="2025-11-12T22:20:27.56" personId="{FBC423A5-AA65-461E-9726-B8EC4FB798DC}" id="{B434BEC2-973F-4BAF-AAB8-5E17DCBBFC01}">
    <text>@Hodzic Alkis (PS-CV/EES PS-SC/XPS) macht es Sinn die Aufgaben von Manish nach Cluj zu transferieren?</text>
    <mentions>
      <mention mentionpersonId="{8E1091FE-3294-4FF9-8CF9-CD197997089A}" mentionId="{046EC6D7-13B4-4E3C-861D-4C004A4FEB83}" startIndex="0" length="35"/>
    </mentions>
  </threadedComment>
  <threadedComment ref="G9" dT="2025-11-13T11:06:53.11" personId="{DABD0D09-AEB6-46DE-976C-01801A94D11C}" id="{C5498643-2AAD-45A9-8C2D-8AC6DCDF5AE2}" parentId="{B434BEC2-973F-4BAF-AAB8-5E17DCBBFC01}">
    <text xml:space="preserve">JA wie besprochen. </text>
  </threadedComment>
  <threadedComment ref="A14" dT="2026-02-17T09:42:21.76" personId="{806E709F-6C8E-4453-A445-A3DDC6BC4886}" id="{9808D518-CA30-4E70-A24B-61E1C2A8C0CE}">
    <text>Changed from 002 to 003: all resource groups in Germany should be at 003. Need to be changed in MCR also.</text>
  </threadedComment>
  <threadedComment ref="D15" dT="2025-11-12T22:18:43.08" personId="{FBC423A5-AA65-461E-9726-B8EC4FB798DC}" id="{0C3307D4-F0BA-459E-9580-407707C9EA7D}">
    <text>@Karaivanov Stanislav (BD/SPB-APA9) resource group changed --&gt; now Cluj</text>
    <mentions>
      <mention mentionpersonId="{9F08ADA5-3182-46C4-80F8-7A9B6EE4F80F}" mentionId="{CBEBE42F-C9E4-42BC-9EE3-609F9C9C110E}" startIndex="0" length="35"/>
    </mentions>
  </threadedComment>
  <threadedComment ref="D15" dT="2025-11-12T22:29:41.75" personId="{FBC423A5-AA65-461E-9726-B8EC4FB798DC}" id="{FA646235-E6DA-4C02-829E-EFFF15A7EE4C}" parentId="{0C3307D4-F0BA-459E-9580-407707C9EA7D}">
    <text>@Karaivanov Stanislav (BD/SPB-APA9)  changed from Germany to Cluj and 007 to 006 (no ögP)</text>
    <mentions>
      <mention mentionpersonId="{9F08ADA5-3182-46C4-80F8-7A9B6EE4F80F}" mentionId="{727CED0E-2F43-4904-B76D-5F4108ADCF2C}" startIndex="0" length="35"/>
    </mentions>
  </threadedComment>
  <threadedComment ref="A20" dT="2026-02-18T14:53:33.81" personId="{806E709F-6C8E-4453-A445-A3DDC6BC4886}" id="{25C5A34B-2187-4B1A-8360-DFA76F5DE826}">
    <text>Changed from 003 to 002: all resource groups in Germany should be at 003. Need to be changed in MCR also.</text>
  </threadedComment>
  <threadedComment ref="D22" dT="2025-11-12T22:18:43.08" personId="{FBC423A5-AA65-461E-9726-B8EC4FB798DC}" id="{5B3A4C03-28B3-40D7-875F-6F33763C8A63}">
    <text>@Karaivanov Stanislav (BD/SPB-APA9) resource group changed --&gt; now Cluj</text>
    <mentions>
      <mention mentionpersonId="{9F08ADA5-3182-46C4-80F8-7A9B6EE4F80F}" mentionId="{692601B6-9D96-419F-97FE-5BFF04F81964}" startIndex="0" length="35"/>
    </mentions>
  </threadedComment>
  <threadedComment ref="D22" dT="2025-11-12T22:29:41.75" personId="{FBC423A5-AA65-461E-9726-B8EC4FB798DC}" id="{94E36218-AA67-4025-922B-32EE0EFA120A}" parentId="{5B3A4C03-28B3-40D7-875F-6F33763C8A63}">
    <text>@Karaivanov Stanislav (BD/SPB-APA9)  changed from Germany to Cluj and 007 to 006 (no ögP)</text>
    <mentions>
      <mention mentionpersonId="{9F08ADA5-3182-46C4-80F8-7A9B6EE4F80F}" mentionId="{3E07C757-936C-48E5-83F2-B687339D198E}" startIndex="0" length="35"/>
    </mentions>
  </threadedComment>
  <threadedComment ref="D22" dT="2025-11-12T22:41:01.79" personId="{FBC423A5-AA65-461E-9726-B8EC4FB798DC}" id="{12A1CB5F-ABF9-46F2-8B36-12D4043F9913}" parentId="{5B3A4C03-28B3-40D7-875F-6F33763C8A63}">
    <text>@Karaivanov Stanislav (BD/SPB-APA9)  changed from India to Cluj</text>
    <mentions>
      <mention mentionpersonId="{9F08ADA5-3182-46C4-80F8-7A9B6EE4F80F}" mentionId="{FD1A7141-C8E8-47EC-A1CE-DBADC3A4126F}" startIndex="0" length="35"/>
    </mentions>
  </threadedComment>
  <threadedComment ref="A39" dT="2026-02-18T14:55:16.68" personId="{806E709F-6C8E-4453-A445-A3DDC6BC4886}" id="{15D9E007-73ED-438D-8C31-EB3D6F981D7F}">
    <text>Changed from 003 to 002: all resource groups in Germany should be at 003. Need to be changed in MCR also.</text>
  </threadedComment>
  <threadedComment ref="A45" dT="2026-02-17T09:42:28.25" personId="{806E709F-6C8E-4453-A445-A3DDC6BC4886}" id="{FDBF0101-E44D-49D6-BD4B-BED8FE4F74A0}">
    <text>Changed from 002 to 003: all resource groups in Germany should be at 003. Need to be changed in MCR also.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222B-9AD7-4019-9031-89772DFE4417}">
  <dimension ref="A2:P92"/>
  <sheetViews>
    <sheetView tabSelected="1" zoomScaleNormal="100" workbookViewId="0">
      <selection activeCell="H15" sqref="H15"/>
    </sheetView>
  </sheetViews>
  <sheetFormatPr defaultColWidth="9.109375" defaultRowHeight="14.4"/>
  <cols>
    <col min="1" max="1" width="18.109375" bestFit="1" customWidth="1"/>
    <col min="2" max="2" width="27.109375" customWidth="1"/>
    <col min="3" max="3" width="52.109375" customWidth="1"/>
    <col min="4" max="4" width="40" customWidth="1"/>
    <col min="5" max="5" width="17.5546875" customWidth="1"/>
    <col min="6" max="6" width="14.88671875" style="1" customWidth="1"/>
    <col min="7" max="7" width="38.88671875" customWidth="1"/>
    <col min="8" max="9" width="11.88671875" customWidth="1"/>
    <col min="10" max="10" width="17" customWidth="1"/>
    <col min="11" max="11" width="19.33203125" customWidth="1"/>
    <col min="12" max="12" width="57" bestFit="1" customWidth="1"/>
  </cols>
  <sheetData>
    <row r="2" spans="1:12">
      <c r="A2" t="s">
        <v>144</v>
      </c>
      <c r="B2" t="s">
        <v>0</v>
      </c>
      <c r="C2" t="s">
        <v>1</v>
      </c>
      <c r="D2" t="s">
        <v>2</v>
      </c>
      <c r="E2" t="s">
        <v>3</v>
      </c>
      <c r="F2" s="1" t="s">
        <v>4</v>
      </c>
      <c r="G2" t="s">
        <v>5</v>
      </c>
      <c r="H2" t="s">
        <v>6</v>
      </c>
      <c r="I2" t="s">
        <v>7</v>
      </c>
      <c r="J2" t="s">
        <v>8</v>
      </c>
      <c r="K2" s="3" t="s">
        <v>143</v>
      </c>
      <c r="L2" t="s">
        <v>9</v>
      </c>
    </row>
    <row r="3" spans="1:12" ht="15" customHeight="1">
      <c r="A3" t="s">
        <v>11</v>
      </c>
      <c r="B3" t="s">
        <v>12</v>
      </c>
      <c r="C3" t="s">
        <v>13</v>
      </c>
      <c r="D3" t="s">
        <v>14</v>
      </c>
      <c r="F3" s="1" t="s">
        <v>10</v>
      </c>
      <c r="G3" t="s">
        <v>15</v>
      </c>
      <c r="I3" s="4"/>
      <c r="J3" s="4"/>
      <c r="K3" s="5">
        <v>-330000</v>
      </c>
      <c r="L3" s="4"/>
    </row>
    <row r="4" spans="1:12" ht="15" customHeight="1">
      <c r="A4" t="s">
        <v>17</v>
      </c>
      <c r="C4" t="s">
        <v>18</v>
      </c>
      <c r="D4" t="s">
        <v>19</v>
      </c>
      <c r="F4" s="1" t="s">
        <v>16</v>
      </c>
      <c r="I4" s="4"/>
      <c r="J4" s="4"/>
      <c r="K4" s="5">
        <v>-400000</v>
      </c>
      <c r="L4" s="4" t="s">
        <v>20</v>
      </c>
    </row>
    <row r="5" spans="1:12" ht="15" customHeight="1">
      <c r="A5" t="s">
        <v>21</v>
      </c>
      <c r="C5" t="s">
        <v>22</v>
      </c>
      <c r="D5" t="s">
        <v>14</v>
      </c>
      <c r="F5" s="1" t="s">
        <v>10</v>
      </c>
      <c r="G5" t="s">
        <v>15</v>
      </c>
      <c r="I5" s="4"/>
      <c r="J5" s="4"/>
      <c r="K5" s="5">
        <v>0</v>
      </c>
      <c r="L5" s="4"/>
    </row>
    <row r="6" spans="1:12" ht="15" customHeight="1">
      <c r="A6" t="s">
        <v>17</v>
      </c>
      <c r="C6" t="s">
        <v>23</v>
      </c>
      <c r="D6" t="s">
        <v>19</v>
      </c>
      <c r="E6" t="s">
        <v>24</v>
      </c>
      <c r="F6" s="1" t="s">
        <v>25</v>
      </c>
      <c r="G6" t="s">
        <v>26</v>
      </c>
      <c r="I6" s="4"/>
      <c r="J6" s="4"/>
      <c r="K6" s="5">
        <v>0</v>
      </c>
      <c r="L6" s="4"/>
    </row>
    <row r="7" spans="1:12" ht="15" customHeight="1">
      <c r="A7" t="s">
        <v>17</v>
      </c>
      <c r="B7" t="s">
        <v>27</v>
      </c>
      <c r="C7" t="s">
        <v>28</v>
      </c>
      <c r="D7" t="s">
        <v>19</v>
      </c>
      <c r="E7" t="s">
        <v>29</v>
      </c>
      <c r="F7" s="1" t="s">
        <v>25</v>
      </c>
      <c r="G7" t="s">
        <v>30</v>
      </c>
      <c r="I7" s="4"/>
      <c r="J7" s="4"/>
      <c r="K7" s="5">
        <v>210000</v>
      </c>
      <c r="L7" s="7" t="s">
        <v>31</v>
      </c>
    </row>
    <row r="8" spans="1:12" ht="15" customHeight="1">
      <c r="A8" t="s">
        <v>17</v>
      </c>
      <c r="C8" t="s">
        <v>32</v>
      </c>
      <c r="D8" s="8" t="s">
        <v>33</v>
      </c>
      <c r="E8" s="9" t="s">
        <v>34</v>
      </c>
      <c r="F8" s="1" t="s">
        <v>35</v>
      </c>
      <c r="G8" t="s">
        <v>36</v>
      </c>
      <c r="H8">
        <v>1496</v>
      </c>
      <c r="I8" s="10">
        <v>52.53921568627451</v>
      </c>
      <c r="J8" s="4">
        <f>Table4261013[[#This Row],[Total Hrs 2026]]*Table4261013[[#This Row],[Rate 2026]]</f>
        <v>78598.666666666672</v>
      </c>
      <c r="K8" s="5">
        <v>78598.666666666672</v>
      </c>
      <c r="L8" s="4" t="s">
        <v>37</v>
      </c>
    </row>
    <row r="9" spans="1:12" ht="15" customHeight="1">
      <c r="A9" t="s">
        <v>17</v>
      </c>
      <c r="C9" t="s">
        <v>32</v>
      </c>
      <c r="D9" t="s">
        <v>38</v>
      </c>
      <c r="E9" t="s">
        <v>39</v>
      </c>
      <c r="F9" s="1" t="s">
        <v>35</v>
      </c>
      <c r="G9" t="s">
        <v>40</v>
      </c>
      <c r="H9">
        <v>1871</v>
      </c>
      <c r="I9" s="4">
        <v>28.04</v>
      </c>
      <c r="J9" s="4">
        <f>Table4261013[[#This Row],[Total Hrs 2026]]*Table4261013[[#This Row],[Rate 2026]]</f>
        <v>52462.84</v>
      </c>
      <c r="K9" s="5">
        <v>52462.84</v>
      </c>
      <c r="L9" s="4"/>
    </row>
    <row r="10" spans="1:12" ht="15" customHeight="1">
      <c r="A10" t="s">
        <v>17</v>
      </c>
      <c r="C10" t="s">
        <v>41</v>
      </c>
      <c r="D10" t="s">
        <v>19</v>
      </c>
      <c r="E10" t="s">
        <v>24</v>
      </c>
      <c r="F10" s="1" t="s">
        <v>25</v>
      </c>
      <c r="G10" t="s">
        <v>15</v>
      </c>
      <c r="I10" s="4"/>
      <c r="J10" s="4"/>
      <c r="K10" s="5">
        <v>0</v>
      </c>
      <c r="L10" s="4"/>
    </row>
    <row r="11" spans="1:12" ht="15" customHeight="1">
      <c r="A11" t="s">
        <v>17</v>
      </c>
      <c r="C11" t="s">
        <v>42</v>
      </c>
      <c r="D11" t="s">
        <v>19</v>
      </c>
      <c r="E11" t="s">
        <v>43</v>
      </c>
      <c r="F11" s="1" t="s">
        <v>25</v>
      </c>
      <c r="G11" t="s">
        <v>15</v>
      </c>
      <c r="I11" s="4"/>
      <c r="J11" s="4"/>
      <c r="K11" s="5">
        <v>0</v>
      </c>
      <c r="L11" s="4"/>
    </row>
    <row r="12" spans="1:12" ht="15" customHeight="1">
      <c r="A12" t="s">
        <v>17</v>
      </c>
      <c r="C12" t="s">
        <v>44</v>
      </c>
      <c r="D12" t="s">
        <v>45</v>
      </c>
      <c r="E12" t="s">
        <v>46</v>
      </c>
      <c r="F12" s="1" t="s">
        <v>35</v>
      </c>
      <c r="H12">
        <v>1860</v>
      </c>
      <c r="I12" s="4">
        <v>113.74782608695651</v>
      </c>
      <c r="J12" s="4">
        <f>Table4261013[[#This Row],[Total Hrs 2026]]*Table4261013[[#This Row],[Rate 2026]]</f>
        <v>211570.95652173911</v>
      </c>
      <c r="K12" s="5">
        <v>423141.91304347821</v>
      </c>
      <c r="L12" s="4"/>
    </row>
    <row r="13" spans="1:12" ht="15" customHeight="1">
      <c r="A13" t="s">
        <v>17</v>
      </c>
      <c r="B13" t="s">
        <v>47</v>
      </c>
      <c r="C13" t="s">
        <v>48</v>
      </c>
      <c r="D13" t="s">
        <v>19</v>
      </c>
      <c r="E13" t="s">
        <v>49</v>
      </c>
      <c r="F13" s="1" t="s">
        <v>25</v>
      </c>
      <c r="G13" t="s">
        <v>15</v>
      </c>
      <c r="I13" s="4"/>
      <c r="J13" s="4"/>
      <c r="K13" s="5">
        <v>370000</v>
      </c>
      <c r="L13" s="4" t="s">
        <v>50</v>
      </c>
    </row>
    <row r="14" spans="1:12" ht="15" customHeight="1">
      <c r="A14" s="11" t="s">
        <v>11</v>
      </c>
      <c r="C14" t="s">
        <v>51</v>
      </c>
      <c r="D14" t="s">
        <v>52</v>
      </c>
      <c r="E14" t="s">
        <v>24</v>
      </c>
      <c r="F14" s="1" t="s">
        <v>35</v>
      </c>
      <c r="G14" t="s">
        <v>53</v>
      </c>
      <c r="H14">
        <f>1442/2</f>
        <v>721</v>
      </c>
      <c r="I14" s="4">
        <v>172.8</v>
      </c>
      <c r="J14" s="4">
        <f>Table4261013[[#This Row],[Total Hrs 2026]]*Table4261013[[#This Row],[Rate 2026]]</f>
        <v>124588.8</v>
      </c>
      <c r="K14" s="5">
        <v>124588.8</v>
      </c>
      <c r="L14" s="4"/>
    </row>
    <row r="15" spans="1:12" ht="15" customHeight="1">
      <c r="A15" s="8" t="s">
        <v>17</v>
      </c>
      <c r="C15" t="s">
        <v>54</v>
      </c>
      <c r="D15" s="8" t="s">
        <v>33</v>
      </c>
      <c r="E15" s="9" t="s">
        <v>34</v>
      </c>
      <c r="F15" s="1" t="s">
        <v>35</v>
      </c>
      <c r="G15" t="s">
        <v>55</v>
      </c>
      <c r="H15">
        <f>Table4261013[[#This Row],[Total]]/Table4261013[[#This Row],[Rate 2026]]</f>
        <v>2244</v>
      </c>
      <c r="I15" s="4">
        <v>52.53921568627451</v>
      </c>
      <c r="J15" s="4">
        <f>Table4261013[[#This Row],[Total Hrs 2026]]*Table4261013[[#This Row],[Rate 2026]]</f>
        <v>117898</v>
      </c>
      <c r="K15" s="5">
        <v>117898</v>
      </c>
      <c r="L15" s="4" t="s">
        <v>56</v>
      </c>
    </row>
    <row r="16" spans="1:12" ht="15" customHeight="1">
      <c r="A16" t="s">
        <v>17</v>
      </c>
      <c r="C16" t="s">
        <v>57</v>
      </c>
      <c r="D16" t="s">
        <v>58</v>
      </c>
      <c r="E16" s="9" t="s">
        <v>34</v>
      </c>
      <c r="F16" s="1" t="s">
        <v>35</v>
      </c>
      <c r="G16" t="s">
        <v>59</v>
      </c>
      <c r="H16">
        <v>1550</v>
      </c>
      <c r="I16" s="4">
        <v>52.53921568627451</v>
      </c>
      <c r="J16" s="4">
        <f>Table4261013[[#This Row],[Total Hrs 2026]]*Table4261013[[#This Row],[Rate 2026]]</f>
        <v>81435.784313725497</v>
      </c>
      <c r="K16" s="5">
        <v>81435.784313725511</v>
      </c>
      <c r="L16" s="4"/>
    </row>
    <row r="17" spans="1:12" ht="15" customHeight="1">
      <c r="A17" t="s">
        <v>17</v>
      </c>
      <c r="B17" t="s">
        <v>60</v>
      </c>
      <c r="C17" t="s">
        <v>61</v>
      </c>
      <c r="D17" t="s">
        <v>19</v>
      </c>
      <c r="E17" t="s">
        <v>62</v>
      </c>
      <c r="F17" s="1" t="s">
        <v>63</v>
      </c>
      <c r="I17" s="4"/>
      <c r="J17" s="4">
        <f>Table4261013[[#This Row],[Total Hrs 2026]]*Table4261013[[#This Row],[Rate 2026]]</f>
        <v>0</v>
      </c>
      <c r="K17" s="5">
        <v>25000</v>
      </c>
      <c r="L17" s="4"/>
    </row>
    <row r="18" spans="1:12" ht="15" customHeight="1">
      <c r="A18" t="s">
        <v>17</v>
      </c>
      <c r="B18" t="s">
        <v>64</v>
      </c>
      <c r="C18" t="s">
        <v>65</v>
      </c>
      <c r="D18" t="s">
        <v>19</v>
      </c>
      <c r="E18" t="s">
        <v>62</v>
      </c>
      <c r="F18" s="1" t="s">
        <v>63</v>
      </c>
      <c r="I18" s="4"/>
      <c r="J18" s="4">
        <f>Table4261013[[#This Row],[Total Hrs 2026]]*Table4261013[[#This Row],[Rate 2026]]</f>
        <v>0</v>
      </c>
      <c r="K18" s="5">
        <v>25000</v>
      </c>
      <c r="L18" s="4"/>
    </row>
    <row r="19" spans="1:12" ht="15" customHeight="1">
      <c r="A19" t="s">
        <v>11</v>
      </c>
      <c r="C19" t="s">
        <v>66</v>
      </c>
      <c r="D19" t="s">
        <v>67</v>
      </c>
      <c r="E19" t="s">
        <v>24</v>
      </c>
      <c r="F19" s="1" t="s">
        <v>35</v>
      </c>
      <c r="G19" t="s">
        <v>68</v>
      </c>
      <c r="I19" s="4"/>
      <c r="J19" s="4">
        <f>Table4261013[[#This Row],[Total Hrs 2026]]*Table4261013[[#This Row],[Rate 2026]]</f>
        <v>0</v>
      </c>
      <c r="K19" s="5">
        <v>0</v>
      </c>
      <c r="L19" s="4"/>
    </row>
    <row r="20" spans="1:12" ht="15" customHeight="1">
      <c r="A20" s="11" t="s">
        <v>17</v>
      </c>
      <c r="B20" s="11"/>
      <c r="C20" t="s">
        <v>66</v>
      </c>
      <c r="D20" t="s">
        <v>58</v>
      </c>
      <c r="E20" t="s">
        <v>34</v>
      </c>
      <c r="F20" s="1" t="s">
        <v>35</v>
      </c>
      <c r="G20" t="s">
        <v>69</v>
      </c>
      <c r="H20">
        <f>1550/2</f>
        <v>775</v>
      </c>
      <c r="I20" s="4">
        <v>52.53921568627451</v>
      </c>
      <c r="J20" s="4">
        <f>Table4261013[[#This Row],[Total Hrs 2026]]*Table4261013[[#This Row],[Rate 2026]]</f>
        <v>40717.892156862748</v>
      </c>
      <c r="K20" s="5">
        <v>40717.892156862748</v>
      </c>
      <c r="L20" s="4"/>
    </row>
    <row r="21" spans="1:12" ht="15" customHeight="1">
      <c r="A21" t="s">
        <v>17</v>
      </c>
      <c r="C21" t="s">
        <v>70</v>
      </c>
      <c r="D21" t="s">
        <v>38</v>
      </c>
      <c r="E21" t="s">
        <v>39</v>
      </c>
      <c r="F21" s="1" t="s">
        <v>35</v>
      </c>
      <c r="G21" t="s">
        <v>71</v>
      </c>
      <c r="H21">
        <f>1871/2</f>
        <v>935.5</v>
      </c>
      <c r="I21" s="4">
        <v>28.04</v>
      </c>
      <c r="J21" s="4">
        <f>Table4261013[[#This Row],[Total Hrs 2026]]*Table4261013[[#This Row],[Rate 2026]]</f>
        <v>26231.42</v>
      </c>
      <c r="K21" s="5">
        <v>26231.42</v>
      </c>
      <c r="L21" s="4"/>
    </row>
    <row r="22" spans="1:12" ht="15" customHeight="1">
      <c r="A22" t="s">
        <v>17</v>
      </c>
      <c r="C22" t="s">
        <v>72</v>
      </c>
      <c r="D22" s="8" t="s">
        <v>33</v>
      </c>
      <c r="E22" t="s">
        <v>39</v>
      </c>
      <c r="F22" s="1" t="s">
        <v>35</v>
      </c>
      <c r="G22" t="s">
        <v>73</v>
      </c>
      <c r="H22">
        <f>1496/4</f>
        <v>374</v>
      </c>
      <c r="I22" s="4">
        <v>52.53921568627451</v>
      </c>
      <c r="J22" s="4">
        <f>Table4261013[[#This Row],[Total Hrs 2026]]*Table4261013[[#This Row],[Rate 2026]]</f>
        <v>19649.666666666668</v>
      </c>
      <c r="K22" s="5">
        <v>19649.666666666668</v>
      </c>
      <c r="L22" s="4"/>
    </row>
    <row r="23" spans="1:12" ht="15" customHeight="1">
      <c r="A23" t="s">
        <v>17</v>
      </c>
      <c r="C23" t="s">
        <v>74</v>
      </c>
      <c r="D23" t="s">
        <v>75</v>
      </c>
      <c r="E23" t="s">
        <v>39</v>
      </c>
      <c r="F23" s="1" t="s">
        <v>35</v>
      </c>
      <c r="G23" t="s">
        <v>76</v>
      </c>
      <c r="H23">
        <f>1872/2</f>
        <v>936</v>
      </c>
      <c r="I23" s="4">
        <v>21.07</v>
      </c>
      <c r="J23" s="4">
        <f>Table4261013[[#This Row],[Total Hrs 2026]]*Table4261013[[#This Row],[Rate 2026]]</f>
        <v>19721.52</v>
      </c>
      <c r="K23" s="5">
        <v>19721.52</v>
      </c>
      <c r="L23" s="4"/>
    </row>
    <row r="24" spans="1:12" ht="15" customHeight="1">
      <c r="A24" t="s">
        <v>17</v>
      </c>
      <c r="B24" t="s">
        <v>77</v>
      </c>
      <c r="C24" t="s">
        <v>78</v>
      </c>
      <c r="D24" t="s">
        <v>19</v>
      </c>
      <c r="E24" t="s">
        <v>79</v>
      </c>
      <c r="F24" s="1" t="s">
        <v>25</v>
      </c>
      <c r="G24" t="s">
        <v>80</v>
      </c>
      <c r="I24" s="4"/>
      <c r="J24" s="4">
        <f>Table4261013[[#This Row],[Total Hrs 2026]]*Table4261013[[#This Row],[Rate 2026]]</f>
        <v>0</v>
      </c>
      <c r="K24" s="6">
        <v>0</v>
      </c>
      <c r="L24" s="4" t="s">
        <v>81</v>
      </c>
    </row>
    <row r="25" spans="1:12" ht="15" customHeight="1">
      <c r="A25" s="11" t="s">
        <v>11</v>
      </c>
      <c r="C25" t="s">
        <v>82</v>
      </c>
      <c r="D25" t="s">
        <v>83</v>
      </c>
      <c r="E25" t="s">
        <v>84</v>
      </c>
      <c r="F25" s="1" t="s">
        <v>35</v>
      </c>
      <c r="G25" t="s">
        <v>85</v>
      </c>
      <c r="H25">
        <v>1617</v>
      </c>
      <c r="I25" s="4">
        <v>140.30000000000004</v>
      </c>
      <c r="J25" s="4">
        <f>Table4261013[[#This Row],[Total Hrs 2026]]*Table4261013[[#This Row],[Rate 2026]]</f>
        <v>226865.10000000006</v>
      </c>
      <c r="K25" s="5">
        <v>226865.10000000006</v>
      </c>
      <c r="L25" s="4"/>
    </row>
    <row r="26" spans="1:12" ht="15" customHeight="1">
      <c r="A26" t="s">
        <v>17</v>
      </c>
      <c r="B26" t="s">
        <v>86</v>
      </c>
      <c r="C26" t="s">
        <v>87</v>
      </c>
      <c r="D26" t="s">
        <v>19</v>
      </c>
      <c r="E26" t="s">
        <v>79</v>
      </c>
      <c r="F26" s="1" t="s">
        <v>25</v>
      </c>
      <c r="G26" t="s">
        <v>88</v>
      </c>
      <c r="I26" s="4"/>
      <c r="J26" s="4">
        <f>Table4261013[[#This Row],[Total Hrs 2026]]*Table4261013[[#This Row],[Rate 2026]]</f>
        <v>0</v>
      </c>
      <c r="K26" s="6">
        <v>578153.67200000002</v>
      </c>
      <c r="L26" s="4" t="s">
        <v>81</v>
      </c>
    </row>
    <row r="27" spans="1:12" ht="15" customHeight="1">
      <c r="A27" t="s">
        <v>89</v>
      </c>
      <c r="C27" t="s">
        <v>90</v>
      </c>
      <c r="D27" t="s">
        <v>91</v>
      </c>
      <c r="E27" t="s">
        <v>92</v>
      </c>
      <c r="F27" s="1" t="s">
        <v>25</v>
      </c>
      <c r="G27" t="s">
        <v>93</v>
      </c>
      <c r="I27" s="4"/>
      <c r="J27" s="4">
        <f>Table4261013[[#This Row],[Total Hrs 2026]]*Table4261013[[#This Row],[Rate 2026]]</f>
        <v>0</v>
      </c>
      <c r="K27" s="6">
        <v>1095000</v>
      </c>
      <c r="L27" s="4" t="s">
        <v>94</v>
      </c>
    </row>
    <row r="28" spans="1:12" ht="15" customHeight="1">
      <c r="A28" t="s">
        <v>21</v>
      </c>
      <c r="C28" t="s">
        <v>95</v>
      </c>
      <c r="D28" t="s">
        <v>91</v>
      </c>
      <c r="E28" t="s">
        <v>92</v>
      </c>
      <c r="F28" s="1" t="s">
        <v>25</v>
      </c>
      <c r="G28" t="s">
        <v>93</v>
      </c>
      <c r="I28" s="4"/>
      <c r="J28" s="4">
        <f>Table4261013[[#This Row],[Total Hrs 2026]]*Table4261013[[#This Row],[Rate 2026]]</f>
        <v>0</v>
      </c>
      <c r="K28" s="6">
        <v>611000</v>
      </c>
      <c r="L28" s="4" t="s">
        <v>96</v>
      </c>
    </row>
    <row r="29" spans="1:12" ht="15" customHeight="1">
      <c r="A29" t="s">
        <v>89</v>
      </c>
      <c r="C29" t="s">
        <v>97</v>
      </c>
      <c r="D29" t="s">
        <v>91</v>
      </c>
      <c r="E29" t="s">
        <v>92</v>
      </c>
      <c r="F29" s="1" t="s">
        <v>25</v>
      </c>
      <c r="G29" t="s">
        <v>93</v>
      </c>
      <c r="I29" s="4"/>
      <c r="J29" s="4">
        <f>Table4261013[[#This Row],[Total Hrs 2026]]*Table4261013[[#This Row],[Rate 2026]]</f>
        <v>0</v>
      </c>
      <c r="K29" s="12">
        <v>0</v>
      </c>
      <c r="L29" s="4" t="s">
        <v>98</v>
      </c>
    </row>
    <row r="30" spans="1:12" ht="15" customHeight="1">
      <c r="A30" t="s">
        <v>21</v>
      </c>
      <c r="C30" t="s">
        <v>97</v>
      </c>
      <c r="D30" t="s">
        <v>91</v>
      </c>
      <c r="E30" t="s">
        <v>92</v>
      </c>
      <c r="F30" s="1" t="s">
        <v>25</v>
      </c>
      <c r="G30" t="s">
        <v>93</v>
      </c>
      <c r="I30" s="4"/>
      <c r="J30" s="4">
        <f>Table4261013[[#This Row],[Total Hrs 2026]]*Table4261013[[#This Row],[Rate 2026]]</f>
        <v>0</v>
      </c>
      <c r="K30" s="5">
        <v>0</v>
      </c>
      <c r="L30" s="4"/>
    </row>
    <row r="31" spans="1:12" ht="15" customHeight="1">
      <c r="A31" t="s">
        <v>17</v>
      </c>
      <c r="B31" t="s">
        <v>99</v>
      </c>
      <c r="C31" t="s">
        <v>100</v>
      </c>
      <c r="D31" t="s">
        <v>19</v>
      </c>
      <c r="E31" t="s">
        <v>101</v>
      </c>
      <c r="F31" s="1" t="s">
        <v>25</v>
      </c>
      <c r="G31" t="s">
        <v>15</v>
      </c>
      <c r="I31" s="4"/>
      <c r="J31" s="4">
        <f>Table4261013[[#This Row],[Total Hrs 2026]]*Table4261013[[#This Row],[Rate 2026]]</f>
        <v>0</v>
      </c>
      <c r="K31" s="5">
        <v>98689.339383297905</v>
      </c>
      <c r="L31" s="4"/>
    </row>
    <row r="32" spans="1:12" ht="15" customHeight="1">
      <c r="A32" t="s">
        <v>17</v>
      </c>
      <c r="B32" t="s">
        <v>102</v>
      </c>
      <c r="C32" t="s">
        <v>103</v>
      </c>
      <c r="D32" t="s">
        <v>19</v>
      </c>
      <c r="E32" t="s">
        <v>29</v>
      </c>
      <c r="F32" s="1" t="s">
        <v>25</v>
      </c>
      <c r="G32" t="s">
        <v>15</v>
      </c>
      <c r="I32" s="4"/>
      <c r="J32" s="4">
        <f>Table4261013[[#This Row],[Total Hrs 2026]]*Table4261013[[#This Row],[Rate 2026]]</f>
        <v>0</v>
      </c>
      <c r="K32" s="5">
        <v>150000</v>
      </c>
      <c r="L32" s="13" t="s">
        <v>104</v>
      </c>
    </row>
    <row r="33" spans="1:13" ht="15" customHeight="1">
      <c r="A33" t="s">
        <v>17</v>
      </c>
      <c r="B33" t="s">
        <v>105</v>
      </c>
      <c r="C33" t="s">
        <v>106</v>
      </c>
      <c r="D33" t="s">
        <v>19</v>
      </c>
      <c r="E33" t="s">
        <v>62</v>
      </c>
      <c r="F33" s="1" t="s">
        <v>25</v>
      </c>
      <c r="G33" t="s">
        <v>15</v>
      </c>
      <c r="I33" s="4"/>
      <c r="J33" s="4">
        <f>Table4261013[[#This Row],[Total Hrs 2026]]*Table4261013[[#This Row],[Rate 2026]]</f>
        <v>0</v>
      </c>
      <c r="K33" s="5">
        <v>60000</v>
      </c>
      <c r="L33" s="4"/>
    </row>
    <row r="34" spans="1:13" ht="15" customHeight="1">
      <c r="A34" t="s">
        <v>17</v>
      </c>
      <c r="B34" t="s">
        <v>107</v>
      </c>
      <c r="C34" t="s">
        <v>108</v>
      </c>
      <c r="D34" t="s">
        <v>19</v>
      </c>
      <c r="E34" t="s">
        <v>49</v>
      </c>
      <c r="F34" s="1" t="s">
        <v>25</v>
      </c>
      <c r="G34" t="s">
        <v>109</v>
      </c>
      <c r="I34" s="4"/>
      <c r="J34" s="4">
        <f>Table4261013[[#This Row],[Total Hrs 2026]]*Table4261013[[#This Row],[Rate 2026]]</f>
        <v>0</v>
      </c>
      <c r="K34" s="5">
        <v>180000</v>
      </c>
      <c r="L34" s="4" t="s">
        <v>110</v>
      </c>
    </row>
    <row r="35" spans="1:13" ht="15" customHeight="1">
      <c r="A35" t="s">
        <v>17</v>
      </c>
      <c r="B35" t="s">
        <v>111</v>
      </c>
      <c r="C35" t="s">
        <v>112</v>
      </c>
      <c r="D35" t="s">
        <v>19</v>
      </c>
      <c r="E35" t="s">
        <v>49</v>
      </c>
      <c r="F35" s="1" t="s">
        <v>25</v>
      </c>
      <c r="G35" t="s">
        <v>15</v>
      </c>
      <c r="I35" s="4"/>
      <c r="J35" s="4">
        <f>Table4261013[[#This Row],[Total Hrs 2026]]*Table4261013[[#This Row],[Rate 2026]]</f>
        <v>0</v>
      </c>
      <c r="K35" s="5">
        <v>682500</v>
      </c>
      <c r="L35" s="4" t="s">
        <v>113</v>
      </c>
    </row>
    <row r="36" spans="1:13" ht="15" customHeight="1">
      <c r="A36" t="s">
        <v>89</v>
      </c>
      <c r="C36" t="s">
        <v>114</v>
      </c>
      <c r="E36" t="s">
        <v>92</v>
      </c>
      <c r="I36" s="4"/>
      <c r="J36" s="4">
        <f>Table4261013[[#This Row],[Total Hrs 2026]]*Table4261013[[#This Row],[Rate 2026]]</f>
        <v>0</v>
      </c>
      <c r="K36" s="5">
        <v>0</v>
      </c>
      <c r="L36" s="4"/>
    </row>
    <row r="37" spans="1:13" ht="15" customHeight="1">
      <c r="A37" t="s">
        <v>21</v>
      </c>
      <c r="C37" t="s">
        <v>114</v>
      </c>
      <c r="E37" t="s">
        <v>92</v>
      </c>
      <c r="I37" s="4"/>
      <c r="J37" s="4">
        <f>Table4261013[[#This Row],[Total Hrs 2026]]*Table4261013[[#This Row],[Rate 2026]]</f>
        <v>0</v>
      </c>
      <c r="K37" s="5">
        <v>0</v>
      </c>
      <c r="L37" s="4"/>
    </row>
    <row r="38" spans="1:13" ht="15" customHeight="1">
      <c r="A38" t="s">
        <v>17</v>
      </c>
      <c r="B38" t="s">
        <v>115</v>
      </c>
      <c r="C38" t="s">
        <v>116</v>
      </c>
      <c r="D38" t="s">
        <v>19</v>
      </c>
      <c r="E38" t="s">
        <v>79</v>
      </c>
      <c r="F38" s="1" t="s">
        <v>25</v>
      </c>
      <c r="G38" t="s">
        <v>117</v>
      </c>
      <c r="I38" s="4"/>
      <c r="J38" s="4">
        <f>Table4261013[[#This Row],[Total Hrs 2026]]*Table4261013[[#This Row],[Rate 2026]]</f>
        <v>0</v>
      </c>
      <c r="K38" s="6">
        <v>0</v>
      </c>
      <c r="L38" s="4" t="s">
        <v>81</v>
      </c>
    </row>
    <row r="39" spans="1:13" ht="15" customHeight="1">
      <c r="A39" s="11" t="s">
        <v>17</v>
      </c>
      <c r="C39" t="s">
        <v>118</v>
      </c>
      <c r="D39" t="s">
        <v>33</v>
      </c>
      <c r="E39" t="s">
        <v>34</v>
      </c>
      <c r="F39" s="1" t="s">
        <v>35</v>
      </c>
      <c r="G39" t="s">
        <v>119</v>
      </c>
      <c r="H39">
        <v>1496</v>
      </c>
      <c r="I39" s="4">
        <v>52.53921568627451</v>
      </c>
      <c r="J39" s="4">
        <f>Table4261013[[#This Row],[Total Hrs 2026]]*Table4261013[[#This Row],[Rate 2026]]</f>
        <v>78598.666666666672</v>
      </c>
      <c r="K39" s="5">
        <v>78598.666666666672</v>
      </c>
      <c r="L39" s="4"/>
    </row>
    <row r="40" spans="1:13" ht="15" customHeight="1">
      <c r="A40" t="s">
        <v>17</v>
      </c>
      <c r="C40" t="s">
        <v>120</v>
      </c>
      <c r="D40" t="s">
        <v>33</v>
      </c>
      <c r="E40" s="9" t="s">
        <v>34</v>
      </c>
      <c r="F40" s="1" t="s">
        <v>35</v>
      </c>
      <c r="G40" t="s">
        <v>121</v>
      </c>
      <c r="H40">
        <f>1496/2</f>
        <v>748</v>
      </c>
      <c r="I40" s="4">
        <v>52.53921568627451</v>
      </c>
      <c r="J40" s="4">
        <f>Table4261013[[#This Row],[Total Hrs 2026]]*Table4261013[[#This Row],[Rate 2026]]</f>
        <v>39299.333333333336</v>
      </c>
      <c r="K40" s="5">
        <v>39299.333333333336</v>
      </c>
      <c r="L40" s="4"/>
    </row>
    <row r="41" spans="1:13" ht="15" customHeight="1">
      <c r="A41" t="s">
        <v>11</v>
      </c>
      <c r="B41" t="s">
        <v>122</v>
      </c>
      <c r="C41" t="s">
        <v>123</v>
      </c>
      <c r="D41" t="s">
        <v>19</v>
      </c>
      <c r="E41" t="s">
        <v>62</v>
      </c>
      <c r="F41" s="1" t="s">
        <v>25</v>
      </c>
      <c r="G41" t="s">
        <v>15</v>
      </c>
      <c r="I41" s="4"/>
      <c r="J41" s="4">
        <f>Table4261013[[#This Row],[Total Hrs 2026]]*Table4261013[[#This Row],[Rate 2026]]</f>
        <v>0</v>
      </c>
      <c r="K41" s="5">
        <v>20000</v>
      </c>
      <c r="L41" s="4"/>
    </row>
    <row r="42" spans="1:13" ht="15" customHeight="1">
      <c r="A42" t="s">
        <v>17</v>
      </c>
      <c r="C42" s="14" t="s">
        <v>124</v>
      </c>
      <c r="D42" t="s">
        <v>33</v>
      </c>
      <c r="E42" t="s">
        <v>34</v>
      </c>
      <c r="F42" s="1" t="s">
        <v>35</v>
      </c>
      <c r="G42" s="2" t="s">
        <v>125</v>
      </c>
      <c r="H42">
        <v>1496</v>
      </c>
      <c r="I42" s="4">
        <v>52.53921568627451</v>
      </c>
      <c r="J42" s="4">
        <f>Table4261013[[#This Row],[Total Hrs 2026]]*Table4261013[[#This Row],[Rate 2026]]</f>
        <v>78598.666666666672</v>
      </c>
      <c r="K42" s="5">
        <v>78598.666666666672</v>
      </c>
      <c r="L42" s="4"/>
    </row>
    <row r="43" spans="1:13" ht="15" customHeight="1">
      <c r="A43" t="s">
        <v>17</v>
      </c>
      <c r="C43" t="s">
        <v>126</v>
      </c>
      <c r="D43" t="s">
        <v>38</v>
      </c>
      <c r="E43" t="s">
        <v>39</v>
      </c>
      <c r="F43" s="1" t="s">
        <v>35</v>
      </c>
      <c r="G43" s="2" t="s">
        <v>127</v>
      </c>
      <c r="H43">
        <v>1871</v>
      </c>
      <c r="I43" s="4">
        <v>28.04</v>
      </c>
      <c r="J43" s="4">
        <f>Table4261013[[#This Row],[Total Hrs 2026]]*Table4261013[[#This Row],[Rate 2026]]</f>
        <v>52462.84</v>
      </c>
      <c r="K43" s="5">
        <v>52462.84</v>
      </c>
      <c r="L43" s="4"/>
    </row>
    <row r="44" spans="1:13" ht="15" customHeight="1">
      <c r="A44" t="s">
        <v>17</v>
      </c>
      <c r="C44" t="s">
        <v>128</v>
      </c>
      <c r="D44" t="s">
        <v>33</v>
      </c>
      <c r="E44" t="s">
        <v>34</v>
      </c>
      <c r="F44" s="1" t="s">
        <v>35</v>
      </c>
      <c r="G44" s="2" t="s">
        <v>129</v>
      </c>
      <c r="H44">
        <f>1496+1496</f>
        <v>2992</v>
      </c>
      <c r="I44" s="4">
        <v>52.53921568627451</v>
      </c>
      <c r="J44" s="4">
        <f>Table4261013[[#This Row],[Total Hrs 2026]]*Table4261013[[#This Row],[Rate 2026]]</f>
        <v>157197.33333333334</v>
      </c>
      <c r="K44" s="5">
        <v>157197.33333333334</v>
      </c>
      <c r="L44" s="4" t="s">
        <v>37</v>
      </c>
      <c r="M44" s="4"/>
    </row>
    <row r="45" spans="1:13" ht="15" customHeight="1">
      <c r="A45" s="11" t="s">
        <v>11</v>
      </c>
      <c r="B45" s="11"/>
      <c r="C45" t="s">
        <v>51</v>
      </c>
      <c r="D45" t="s">
        <v>83</v>
      </c>
      <c r="E45" t="s">
        <v>84</v>
      </c>
      <c r="F45" s="1" t="s">
        <v>35</v>
      </c>
      <c r="G45" t="s">
        <v>130</v>
      </c>
      <c r="H45">
        <v>511.65869056104242</v>
      </c>
      <c r="I45" s="4">
        <v>140.30000000000004</v>
      </c>
      <c r="J45" s="4">
        <f>Table4261013[[#This Row],[Total Hrs 2026]]*Table4261013[[#This Row],[Rate 2026]]</f>
        <v>71785.714285714275</v>
      </c>
      <c r="K45" s="5">
        <v>71785.714285714275</v>
      </c>
      <c r="L45" s="4"/>
      <c r="M45">
        <f>Table4261013[[#This Row],[Total]]/Table4261013[[#This Row],[Rate 2026]]</f>
        <v>511.65869056104242</v>
      </c>
    </row>
    <row r="46" spans="1:13" ht="15" customHeight="1">
      <c r="A46" t="s">
        <v>11</v>
      </c>
      <c r="C46" t="s">
        <v>131</v>
      </c>
      <c r="D46" t="s">
        <v>67</v>
      </c>
      <c r="E46" t="s">
        <v>24</v>
      </c>
      <c r="F46" s="1" t="s">
        <v>35</v>
      </c>
      <c r="G46" s="2" t="s">
        <v>132</v>
      </c>
      <c r="H46">
        <v>1419</v>
      </c>
      <c r="I46" s="4">
        <v>148.50000000000003</v>
      </c>
      <c r="J46" s="4">
        <f>Table4261013[[#This Row],[Total Hrs 2026]]*Table4261013[[#This Row],[Rate 2026]]</f>
        <v>210721.50000000003</v>
      </c>
      <c r="K46" s="5">
        <v>210721.50000000003</v>
      </c>
      <c r="L46" s="4"/>
    </row>
    <row r="47" spans="1:13" ht="15" customHeight="1">
      <c r="A47" t="s">
        <v>17</v>
      </c>
      <c r="C47" t="s">
        <v>133</v>
      </c>
      <c r="D47" t="s">
        <v>134</v>
      </c>
      <c r="E47" t="s">
        <v>34</v>
      </c>
      <c r="F47" s="1" t="s">
        <v>35</v>
      </c>
      <c r="G47" t="s">
        <v>135</v>
      </c>
      <c r="H47">
        <v>1550</v>
      </c>
      <c r="I47" s="4">
        <v>52.54</v>
      </c>
      <c r="J47" s="4">
        <f>Table4261013[[#This Row],[Total Hrs 2026]]*Table4261013[[#This Row],[Rate 2026]]</f>
        <v>81437</v>
      </c>
      <c r="K47" s="5">
        <v>81437</v>
      </c>
      <c r="L47" s="4"/>
    </row>
    <row r="48" spans="1:13" ht="15" customHeight="1">
      <c r="A48" t="s">
        <v>17</v>
      </c>
      <c r="C48" t="s">
        <v>136</v>
      </c>
      <c r="D48" t="s">
        <v>134</v>
      </c>
      <c r="E48" t="s">
        <v>34</v>
      </c>
      <c r="F48" s="1" t="s">
        <v>35</v>
      </c>
      <c r="G48" t="s">
        <v>137</v>
      </c>
      <c r="H48">
        <v>1550</v>
      </c>
      <c r="I48" s="4">
        <v>52.54</v>
      </c>
      <c r="J48" s="4">
        <f>Table4261013[[#This Row],[Total Hrs 2026]]*Table4261013[[#This Row],[Rate 2026]]</f>
        <v>81437</v>
      </c>
      <c r="K48" s="5">
        <v>81437</v>
      </c>
      <c r="L48" s="4"/>
    </row>
    <row r="49" spans="1:12">
      <c r="A49" t="s">
        <v>17</v>
      </c>
      <c r="C49" t="s">
        <v>138</v>
      </c>
      <c r="D49" t="s">
        <v>19</v>
      </c>
      <c r="E49" t="s">
        <v>62</v>
      </c>
      <c r="F49" s="1" t="s">
        <v>25</v>
      </c>
      <c r="I49" s="4"/>
      <c r="J49" s="4">
        <f>Table4261013[[#This Row],[Total Hrs 2026]]*Table4261013[[#This Row],[Rate 2026]]</f>
        <v>0</v>
      </c>
      <c r="K49" s="5">
        <v>0</v>
      </c>
      <c r="L49" s="4"/>
    </row>
    <row r="50" spans="1:12">
      <c r="A50" t="s">
        <v>89</v>
      </c>
      <c r="C50" t="s">
        <v>139</v>
      </c>
      <c r="D50" t="s">
        <v>19</v>
      </c>
      <c r="E50" t="s">
        <v>92</v>
      </c>
      <c r="F50" s="1" t="s">
        <v>16</v>
      </c>
      <c r="I50" s="4"/>
      <c r="J50" s="4">
        <f>Table4261013[[#This Row],[Total Hrs 2026]]*Table4261013[[#This Row],[Rate 2026]]</f>
        <v>0</v>
      </c>
      <c r="K50" s="6">
        <v>-343003.95025112602</v>
      </c>
      <c r="L50" s="4" t="s">
        <v>140</v>
      </c>
    </row>
    <row r="51" spans="1:12">
      <c r="A51" t="s">
        <v>141</v>
      </c>
      <c r="C51" t="s">
        <v>23</v>
      </c>
      <c r="D51" t="s">
        <v>19</v>
      </c>
      <c r="I51" s="4"/>
      <c r="J51" s="4">
        <f>Table4261013[[#This Row],[Total Hrs 2026]]*Table4261013[[#This Row],[Rate 2026]]</f>
        <v>0</v>
      </c>
      <c r="K51" s="15">
        <v>250000</v>
      </c>
      <c r="L51" s="4"/>
    </row>
    <row r="52" spans="1:12">
      <c r="A52" t="s">
        <v>141</v>
      </c>
      <c r="C52" t="s">
        <v>28</v>
      </c>
      <c r="D52" t="s">
        <v>19</v>
      </c>
      <c r="I52" s="4"/>
      <c r="J52" s="4">
        <f>Table4261013[[#This Row],[Total Hrs 2026]]*Table4261013[[#This Row],[Rate 2026]]</f>
        <v>0</v>
      </c>
      <c r="K52" s="15">
        <v>67500</v>
      </c>
      <c r="L52" s="4"/>
    </row>
    <row r="53" spans="1:12">
      <c r="A53" t="s">
        <v>141</v>
      </c>
      <c r="C53" t="s">
        <v>44</v>
      </c>
      <c r="D53" t="s">
        <v>45</v>
      </c>
      <c r="I53" s="4"/>
      <c r="J53" s="4">
        <f>Table4261013[[#This Row],[Total Hrs 2026]]*Table4261013[[#This Row],[Rate 2026]]</f>
        <v>0</v>
      </c>
      <c r="K53" s="15">
        <v>423141.91304347821</v>
      </c>
      <c r="L53" s="4"/>
    </row>
    <row r="54" spans="1:12">
      <c r="A54" t="s">
        <v>141</v>
      </c>
      <c r="C54" t="s">
        <v>54</v>
      </c>
      <c r="D54" t="s">
        <v>33</v>
      </c>
      <c r="I54" s="4"/>
      <c r="J54" s="4">
        <f>Table4261013[[#This Row],[Total Hrs 2026]]*Table4261013[[#This Row],[Rate 2026]]</f>
        <v>0</v>
      </c>
      <c r="K54" s="15">
        <v>78598.666666666672</v>
      </c>
      <c r="L54" s="4"/>
    </row>
    <row r="55" spans="1:12">
      <c r="A55" t="s">
        <v>141</v>
      </c>
      <c r="C55" t="s">
        <v>61</v>
      </c>
      <c r="D55" t="s">
        <v>19</v>
      </c>
      <c r="I55" s="4"/>
      <c r="J55" s="4">
        <f>Table4261013[[#This Row],[Total Hrs 2026]]*Table4261013[[#This Row],[Rate 2026]]</f>
        <v>0</v>
      </c>
      <c r="K55" s="15">
        <v>100000.00000000039</v>
      </c>
      <c r="L55" s="4"/>
    </row>
    <row r="56" spans="1:12">
      <c r="A56" t="s">
        <v>141</v>
      </c>
      <c r="C56" t="s">
        <v>65</v>
      </c>
      <c r="D56" t="s">
        <v>19</v>
      </c>
      <c r="I56" s="4"/>
      <c r="J56" s="4">
        <f>Table4261013[[#This Row],[Total Hrs 2026]]*Table4261013[[#This Row],[Rate 2026]]</f>
        <v>0</v>
      </c>
      <c r="K56" s="15">
        <v>100000.00000000039</v>
      </c>
      <c r="L56" s="4"/>
    </row>
    <row r="57" spans="1:12">
      <c r="A57" t="s">
        <v>141</v>
      </c>
      <c r="C57" t="s">
        <v>66</v>
      </c>
      <c r="D57" t="s">
        <v>58</v>
      </c>
      <c r="I57" s="4"/>
      <c r="J57" s="4">
        <f>Table4261013[[#This Row],[Total Hrs 2026]]*Table4261013[[#This Row],[Rate 2026]]</f>
        <v>0</v>
      </c>
      <c r="K57" s="15">
        <v>40717.892156862748</v>
      </c>
      <c r="L57" s="4"/>
    </row>
    <row r="58" spans="1:12">
      <c r="A58" t="s">
        <v>141</v>
      </c>
      <c r="C58" t="s">
        <v>97</v>
      </c>
      <c r="D58" t="s">
        <v>91</v>
      </c>
      <c r="I58" s="4"/>
      <c r="J58" s="4">
        <f>Table4261013[[#This Row],[Total Hrs 2026]]*Table4261013[[#This Row],[Rate 2026]]</f>
        <v>0</v>
      </c>
      <c r="K58" s="15">
        <v>343003.95025112602</v>
      </c>
      <c r="L58" s="4"/>
    </row>
    <row r="59" spans="1:12">
      <c r="A59" t="s">
        <v>141</v>
      </c>
      <c r="C59" t="s">
        <v>103</v>
      </c>
      <c r="D59" t="s">
        <v>19</v>
      </c>
      <c r="I59" s="4"/>
      <c r="J59" s="4">
        <f>Table4261013[[#This Row],[Total Hrs 2026]]*Table4261013[[#This Row],[Rate 2026]]</f>
        <v>0</v>
      </c>
      <c r="K59" s="15">
        <v>113000.0000000001</v>
      </c>
      <c r="L59" s="4"/>
    </row>
    <row r="60" spans="1:12">
      <c r="A60" t="s">
        <v>141</v>
      </c>
      <c r="C60" t="s">
        <v>106</v>
      </c>
      <c r="D60" t="s">
        <v>19</v>
      </c>
      <c r="I60" s="4"/>
      <c r="J60" s="4">
        <f>Table4261013[[#This Row],[Total Hrs 2026]]*Table4261013[[#This Row],[Rate 2026]]</f>
        <v>0</v>
      </c>
      <c r="K60" s="15">
        <v>300000.00000000017</v>
      </c>
      <c r="L60" s="4"/>
    </row>
    <row r="61" spans="1:12">
      <c r="A61" t="s">
        <v>141</v>
      </c>
      <c r="C61" t="s">
        <v>112</v>
      </c>
      <c r="D61" t="s">
        <v>19</v>
      </c>
      <c r="I61" s="4"/>
      <c r="J61" s="4">
        <f>Table4261013[[#This Row],[Total Hrs 2026]]*Table4261013[[#This Row],[Rate 2026]]</f>
        <v>0</v>
      </c>
      <c r="K61" s="15">
        <v>292500</v>
      </c>
      <c r="L61" s="4"/>
    </row>
    <row r="62" spans="1:12">
      <c r="A62" t="s">
        <v>141</v>
      </c>
      <c r="C62" t="s">
        <v>123</v>
      </c>
      <c r="D62" t="s">
        <v>19</v>
      </c>
      <c r="I62" s="4"/>
      <c r="J62" s="4">
        <f>Table4261013[[#This Row],[Total Hrs 2026]]*Table4261013[[#This Row],[Rate 2026]]</f>
        <v>0</v>
      </c>
      <c r="K62" s="15">
        <v>30000</v>
      </c>
      <c r="L62" s="4"/>
    </row>
    <row r="63" spans="1:12">
      <c r="A63" t="s">
        <v>142</v>
      </c>
      <c r="C63" t="s">
        <v>145</v>
      </c>
      <c r="I63" s="4"/>
      <c r="J63" s="4">
        <f>Table4261013[[#This Row],[Total Hrs 2026]]*Table4261013[[#This Row],[Rate 2026]]</f>
        <v>0</v>
      </c>
      <c r="K63" s="6"/>
      <c r="L63" s="4"/>
    </row>
    <row r="64" spans="1:12">
      <c r="A64" t="s">
        <v>142</v>
      </c>
      <c r="I64" s="4"/>
      <c r="J64" s="4">
        <f>Table4261013[[#This Row],[Total Hrs 2026]]*Table4261013[[#This Row],[Rate 2026]]</f>
        <v>0</v>
      </c>
      <c r="K64" s="6"/>
      <c r="L64" s="4"/>
    </row>
    <row r="65" spans="1:12">
      <c r="A65" t="s">
        <v>142</v>
      </c>
      <c r="I65" s="4"/>
      <c r="J65" s="4">
        <f>Table4261013[[#This Row],[Total Hrs 2026]]*Table4261013[[#This Row],[Rate 2026]]</f>
        <v>0</v>
      </c>
      <c r="K65" s="6"/>
      <c r="L65" s="4"/>
    </row>
    <row r="66" spans="1:12">
      <c r="A66" t="s">
        <v>142</v>
      </c>
      <c r="I66" s="4"/>
      <c r="J66" s="4">
        <f>Table4261013[[#This Row],[Total Hrs 2026]]*Table4261013[[#This Row],[Rate 2026]]</f>
        <v>0</v>
      </c>
      <c r="K66" s="6"/>
      <c r="L66" s="4"/>
    </row>
    <row r="67" spans="1:12">
      <c r="A67" t="s">
        <v>142</v>
      </c>
      <c r="I67" s="4"/>
      <c r="J67" s="4">
        <f>Table4261013[[#This Row],[Total Hrs 2026]]*Table4261013[[#This Row],[Rate 2026]]</f>
        <v>0</v>
      </c>
      <c r="K67" s="6"/>
      <c r="L67" s="4"/>
    </row>
    <row r="68" spans="1:12">
      <c r="A68" t="s">
        <v>142</v>
      </c>
      <c r="I68" s="4"/>
      <c r="J68" s="4">
        <f>Table4261013[[#This Row],[Total Hrs 2026]]*Table4261013[[#This Row],[Rate 2026]]</f>
        <v>0</v>
      </c>
      <c r="K68" s="6"/>
      <c r="L68" s="4"/>
    </row>
    <row r="69" spans="1:12">
      <c r="A69" t="s">
        <v>142</v>
      </c>
      <c r="I69" s="4"/>
      <c r="J69" s="4">
        <f>Table4261013[[#This Row],[Total Hrs 2026]]*Table4261013[[#This Row],[Rate 2026]]</f>
        <v>0</v>
      </c>
      <c r="K69" s="6"/>
      <c r="L69" s="4"/>
    </row>
    <row r="70" spans="1:12">
      <c r="A70" t="s">
        <v>142</v>
      </c>
      <c r="I70" s="4"/>
      <c r="J70" s="4">
        <f>Table4261013[[#This Row],[Total Hrs 2026]]*Table4261013[[#This Row],[Rate 2026]]</f>
        <v>0</v>
      </c>
      <c r="K70" s="6"/>
      <c r="L70" s="4"/>
    </row>
    <row r="71" spans="1:12">
      <c r="A71" t="s">
        <v>142</v>
      </c>
      <c r="I71" s="4"/>
      <c r="J71" s="4">
        <f>Table4261013[[#This Row],[Total Hrs 2026]]*Table4261013[[#This Row],[Rate 2026]]</f>
        <v>0</v>
      </c>
      <c r="K71" s="6"/>
      <c r="L71" s="4"/>
    </row>
    <row r="72" spans="1:12">
      <c r="A72" t="s">
        <v>142</v>
      </c>
      <c r="I72" s="4"/>
      <c r="J72" s="4">
        <f>Table4261013[[#This Row],[Total Hrs 2026]]*Table4261013[[#This Row],[Rate 2026]]</f>
        <v>0</v>
      </c>
      <c r="K72" s="6"/>
      <c r="L72" s="4"/>
    </row>
    <row r="73" spans="1:12">
      <c r="A73" t="s">
        <v>142</v>
      </c>
      <c r="I73" s="4"/>
      <c r="J73" s="4"/>
      <c r="K73" s="6"/>
      <c r="L73" s="4"/>
    </row>
    <row r="74" spans="1:12">
      <c r="J74" s="4"/>
      <c r="K74" s="16">
        <f>SUBTOTAL(109,Table4261013[Total])</f>
        <v>7233651.1403834205</v>
      </c>
    </row>
    <row r="75" spans="1:12">
      <c r="K75" s="4"/>
    </row>
    <row r="76" spans="1:12">
      <c r="K76" s="4"/>
      <c r="L76" s="4"/>
    </row>
    <row r="78" spans="1:12">
      <c r="J78" s="17"/>
      <c r="K78" s="18"/>
    </row>
    <row r="79" spans="1:12">
      <c r="A79" s="19"/>
      <c r="B79" s="19"/>
      <c r="C79" s="19"/>
      <c r="K79" s="18"/>
    </row>
    <row r="80" spans="1:12">
      <c r="A80" s="21"/>
      <c r="B80" s="20"/>
      <c r="C80" s="21"/>
      <c r="H80" s="22"/>
      <c r="I80" s="23"/>
      <c r="J80" s="23"/>
      <c r="K80" s="18"/>
    </row>
    <row r="81" spans="1:11">
      <c r="A81" s="21"/>
      <c r="B81" s="20"/>
      <c r="C81" s="21"/>
      <c r="I81" s="23"/>
      <c r="J81" s="4"/>
      <c r="K81" s="18"/>
    </row>
    <row r="82" spans="1:11">
      <c r="A82" s="24"/>
      <c r="B82" s="25"/>
      <c r="C82" s="21"/>
      <c r="I82" s="23"/>
      <c r="K82" s="18"/>
    </row>
    <row r="83" spans="1:11">
      <c r="A83" s="24"/>
      <c r="B83" s="25"/>
      <c r="C83" s="21"/>
      <c r="I83" s="23"/>
      <c r="K83" s="18"/>
    </row>
    <row r="84" spans="1:11">
      <c r="A84" s="24"/>
      <c r="B84" s="25"/>
      <c r="C84" s="21"/>
      <c r="K84" s="18"/>
    </row>
    <row r="85" spans="1:11">
      <c r="A85" s="24"/>
      <c r="B85" s="25"/>
      <c r="C85" s="21"/>
      <c r="K85" s="18"/>
    </row>
    <row r="86" spans="1:11">
      <c r="A86" s="21"/>
      <c r="B86" s="20"/>
      <c r="C86" s="21"/>
      <c r="K86" s="18"/>
    </row>
    <row r="87" spans="1:11">
      <c r="A87" s="27"/>
      <c r="B87" s="26"/>
      <c r="C87" s="27"/>
      <c r="K87" s="18"/>
    </row>
    <row r="88" spans="1:11">
      <c r="K88" s="18"/>
    </row>
    <row r="89" spans="1:11">
      <c r="K89" s="18"/>
    </row>
    <row r="90" spans="1:11">
      <c r="K90" s="18"/>
    </row>
    <row r="92" spans="1:11">
      <c r="K92" s="28"/>
    </row>
  </sheetData>
  <sheetProtection formatCells="0" formatColumns="0" formatRows="0" insertColumns="0" insertRows="0" insertHyperlinks="0" deleteColumns="0" deleteRows="0" autoFilter="0" pivotTables="0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BP2026_CF05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Karaivanov Stanislav (BD/SPB-APA9)</dc:creator>
  <cp:lastModifiedBy>Karaivanov Stanislav (BD/SPB-APA9)</cp:lastModifiedBy>
  <dcterms:created xsi:type="dcterms:W3CDTF">2026-04-24T13:01:33Z</dcterms:created>
  <dcterms:modified xsi:type="dcterms:W3CDTF">2026-04-24T13:20:16Z</dcterms:modified>
</cp:coreProperties>
</file>